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552" documentId="8_{7671D4C3-0959-45B9-8F58-FF912A2B8AE7}" xr6:coauthVersionLast="47" xr6:coauthVersionMax="47" xr10:uidLastSave="{22731A06-0564-4CDE-8BE4-FD8FE70FEB18}"/>
  <bookViews>
    <workbookView xWindow="-20604" yWindow="-108" windowWidth="20712" windowHeight="11016" xr2:uid="{5EE06C8D-2923-44C8-B9C2-A2DFE151C5BF}"/>
  </bookViews>
  <sheets>
    <sheet name="Australi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<sst xmlns="http://schemas.openxmlformats.org/spreadsheetml/2006/main" count="501" uniqueCount="413">
  <si>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</si>
  <si>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</si>
  <si>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</si>
  <si>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</si>
  <si>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</si>
  <si>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</si>
  <si>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</si>
  <si>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</si>
  <si>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</si>
  <si>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</si>
  <si>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</si>
  <si>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</si>
  <si>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</si>
  <si>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</si>
  <si>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</si>
  <si>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</si>
  <si>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</si>
  <si>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No duty-free tariff lines on ICT goods from other economies within the considered United Nations region (%)</t>
  </si>
  <si>
    <t>Not a signatory to the WTO ITA I and ITA II</t>
  </si>
  <si>
    <t>Information Technology Agreement (ITA) and in ITA Expansion Agreement (ITA II)</t>
  </si>
  <si>
    <t>Australia is a signatory of the 1996 WTO Information Technology Agreement (ITA). The ITA provides for participants to completely eliminate duties on IT products covered by the Agreement. The country also agreed on the expanded coverage list in 2015.</t>
  </si>
  <si>
    <t>Since 1997;
Since 2015</t>
  </si>
  <si>
    <t>https://www.wto.org/english/tratop_e/inftec_e/itscheds_e.htm</t>
  </si>
  <si>
    <t>https://docs.wto.org/dol2fe/Pages/SS/directdoc.aspx?filename=q:/WT/MIN15/25.pdf&amp;Open=True</t>
  </si>
  <si>
    <t xml:space="preserve">Customs Act 1901 </t>
  </si>
  <si>
    <t>Under the powers granted by the Customs Act 1901, a Commissioner leads the Anti-Dumping Commission which manages antidumping and countervailing duties. From December 2014, the Commission imposed antidumping duties on Power Transformers (HS 8504.22 and 8504.23) against Indonesia and Taiwan Province of China (as per the latest revision in September 2020). In September 2022, the Commission re-imposed  antidumping duties on PVC Flat Electric Cables (HS 8544.49.20) against China.</t>
  </si>
  <si>
    <t>Since October 1901, last amended October 2024</t>
  </si>
  <si>
    <t>https://www.legislation.gov.au/C1901A00006</t>
  </si>
  <si>
    <t>https://www.industry.gov.au/regulations-and-standards/anti-dumping-and-countervailing-system/anti-dumping-commission-measures;
https://www.industry.gov.au/regulations-and-standards/anti-dumping-and-countervailing-system/anti-dumping-commission-current-cases;
https://www.industry.gov.au/trade/anti-dumping-review-panel/past-anti-dumping-review-panel-reviews/pvc-flat-electrical-cables-exported-peoples-republic-china</t>
  </si>
  <si>
    <t xml:space="preserve">https://www.wto.org/english/res_e/statis_e/itip_e.htm </t>
  </si>
  <si>
    <t>Foreign exclusions from public procurement related to ICT goods and digital services</t>
  </si>
  <si>
    <t>Public Governance Performance and Accountability Rule 2014;
Commonwealth Procurement Rules 2024;
Telecommunications Act 1997;
Security of Critical Infrastructure Act 2018</t>
  </si>
  <si>
    <t xml:space="preserve">In general, Australia does not exclude foreign firms from public procurement. At the federal level, officials from corporate and non-corporate Commonwealth entities listed in the Public Governance, Performance, and Accountability (PGPA) Rule 2014 must comply with the Commonwealth Procurement Rules (CPRs) (CPRs 2.1-2.2). CPRs contain a non-discrimination principle, which provides that " All potential suppliers to government must, subject to these CPRs, be treated equitably based on their commercial, legal, technical and financial abilities and not be discriminated
against due to their size, degree of foreign affiliation or ownership, location, or the origin of
their goods and services." (CPRs 5.4).
However, the Australian Government retains the discretion to exclude foreign firms from participating in critical national infrastructure. This power has been exercised in the past for national security reasons, as seen with the 2012 ban on Huawei from the National Broadband Network (NBN) rollout. Similarly, in 2018, both Huawei and ZTE were banned from Australia’s 5G rollout on similar grounds. In 2023, TikTok was also banned from federal government devices due to security concerns under the Protective Security Policy Framework.
</t>
  </si>
  <si>
    <t>Since June 2014, last amended in September 2024;
June 2024;
Since April 1997, last amended in October 2024;
Since April 2018, last amended in October 2023</t>
  </si>
  <si>
    <t xml:space="preserve">https://www.legislation.gov.au/F2014L00911/latest/text
</t>
  </si>
  <si>
    <t>https://www.legislation.gov.au/F2024L00627</t>
  </si>
  <si>
    <t>https://www.legislation.gov.au/C2004A05145</t>
  </si>
  <si>
    <t>https://www.legislation.gov.au/C2018A00029</t>
  </si>
  <si>
    <t xml:space="preserve">Specific requirements on source codes, encryption and trade secrets </t>
  </si>
  <si>
    <t>Commonwealth Procurement Rules 2024</t>
  </si>
  <si>
    <t>No requirements to surrender source codes or use certain encryption standards are found as a condition to win tenders.</t>
  </si>
  <si>
    <t>Since June 2024</t>
  </si>
  <si>
    <t>https://www.legislation.gov.au/F2024L00627/latest/text</t>
  </si>
  <si>
    <t>Limitations in procurement bidding</t>
  </si>
  <si>
    <t>Australian Jobs Act 2013</t>
  </si>
  <si>
    <t>There are no limitations in procurement bidding; however, the Australian Industry Participation (AIP) plan ensures that Australian industry is "given a full, fair, and reasonable opportunity to participate" in certain government-funded and major projects. The plan does not affect the commercial decisions of funding recipients or mandate the use of Australian industry.
The AIP plan applies to government grants, contracts, and payments of $20 million AUD or more, as well as to major projects valued at $500 million AUD or above. For projects subject to an AIP plan, procurement entities cannot request bids for key goods or services unless they have a broad understanding of Australian entities' capacity and capability to supply those goods or services.</t>
  </si>
  <si>
    <t>Since June 2013, last amended in October 2024</t>
  </si>
  <si>
    <t>www.legislation.gov.au/C2013A00069</t>
  </si>
  <si>
    <t>https://www.industry.gov.au/regulations-and-standards/australian-industry-participation</t>
  </si>
  <si>
    <t>https://ministers.treasury.gov.au/ministers/julie-collins-2022/media-releases/new-procurement-rules-deliver-more-small-business</t>
  </si>
  <si>
    <t xml:space="preserve">Commonwealth Procurement Rules 2024
</t>
  </si>
  <si>
    <t>The Commonwealth Procurement Rules (CPRs) outline the Australian Government's commitment to ensuring that non-corporate Commonwealth entities procure at least 25% of contracts by value from small and medium-sized enterprises (SMEs) for contracts valued up to $1 billion (5.6). Additionally, the Government has set a target for these entities to procure 40% of contracts by value from SMEs for contracts valued up to $20 million (5.7). SMEs include Australian and New Zealand firms with fewer than 200 full-time equivalent employees.
Procurement must also evaluate the broader economic benefits for projects valued over $4 million for non-construction goods and services, and over $7.5 million for construction services. This includes assessing how the procurement can increase productivity, better utilise under-employed resources, and support the development of key industry capabilities.</t>
  </si>
  <si>
    <t xml:space="preserve">Since June 2024
</t>
  </si>
  <si>
    <t>Indigenous Procurement Policy 2015</t>
  </si>
  <si>
    <t>The Commonwealth Indigenous Procurement Policy (IPP) promotes Indigenous business participation through annual targets, the Mandatory Set Aside (MSA), and the Mandatory Minimum Indigenous Participation Requirements (MMR). The MSA requires Indigenous businesses to have the first opportunity to demonstrate value for money for contracts between $80,000 and $200,000, or in remote areas. MMR applies to contracts over $7.5 million in 19 specific industry sectors, mandating Indigenous involvement.</t>
  </si>
  <si>
    <t xml:space="preserve">Since March 2015, last amended December 2020
</t>
  </si>
  <si>
    <t>https://www.niaa.gov.au/resource-centre/indigenous-procurement-policy</t>
  </si>
  <si>
    <t>https://www.niaa.gov.au/indigenous-affairs/economic-development/indigenous-procurement-policy-ipp</t>
  </si>
  <si>
    <t>Not in the WTO Government Procurement Agreement (GPA) and not fully covered the three most relevant services sectors (CPC752, 754, 84)</t>
  </si>
  <si>
    <t>WTO Government Procurement Agreement (GPA)</t>
  </si>
  <si>
    <t>Australia became the 48th member of the World Trade Organization Agreement on Government Procurement when the Agreement entered into force in Australia on 5 May 2019. Annex 5 (Services) to the Agreement states that "this Agreement covers all services procured by the entities listed in Annexes 1 [Central Government Entities], 2 [Sub-Central Government Entities] and 3 [Other Entities]." Annex 5 only excludes plasma fractionation services, government advertising services, health and welfare services, and research and development services.</t>
  </si>
  <si>
    <t xml:space="preserve">Since 2019
</t>
  </si>
  <si>
    <t>https://www.dfat.gov.au/trade/organisations/wto/wto-agreement-on-government-procurement#:~:text=Australia's%20GPA%20Accession,Committee%20on%2017%20October%202018</t>
  </si>
  <si>
    <t>https://e-gpa.wto.org/en/Annex/Details?Agreement=GPA113&amp;Party=Australia&amp;AnnexNo=5&amp;ContentCulture=en&amp;AdvancedSearch=False</t>
  </si>
  <si>
    <t>Foreign equity limits in sectors relevant to digital trade 
Exception: Not cover foreign equity cap in telecom sector (covered under Pillar 5) and e-commerce sector (covered under Pillar 12)</t>
  </si>
  <si>
    <t xml:space="preserve">Foreign Acquisitions and Takeovers Act 1975; 
Corporations Act 2001 </t>
  </si>
  <si>
    <t xml:space="preserve">There is no foreign ownership restrictions in sectors relevant to digital trade applied in Australia. </t>
  </si>
  <si>
    <t>Since August 1975, last amended in October 2024;
Since June 2001, last amended in October 2024</t>
  </si>
  <si>
    <t>https://www.legislation.gov.au/C2004A01402</t>
  </si>
  <si>
    <t xml:space="preserve">https://www.legislation.gov.au/C2004A00818
</t>
  </si>
  <si>
    <t>3</t>
  </si>
  <si>
    <t>Joint venture requirements</t>
  </si>
  <si>
    <t xml:space="preserve">Corporations Act 2001 </t>
  </si>
  <si>
    <t>No joint venture requirement is found as a condition for foreign investment.</t>
  </si>
  <si>
    <t>Since June 2001, last amended in October 2024</t>
  </si>
  <si>
    <t>Nationality or residency requirements for board of directors or managers</t>
  </si>
  <si>
    <t>Under the Corporations Act 2001 (section 201A), a proprietary company must have at least one director who resides in Australia. Public companies are required to have a minimum of three directors, with at least two residing in Australia.</t>
  </si>
  <si>
    <t xml:space="preserve">Screening of investment and acquisitions
Exception: Anti-trust measures related to M&amp;A are not considered a restriction, unless discriminatory. </t>
  </si>
  <si>
    <t xml:space="preserve">Broadcasting Services Act 1992 </t>
  </si>
  <si>
    <t xml:space="preserve">Under the Broadcasting Services Act 1992 (Division 10A, Subdivision A, 74A), any foreign person holding 2.5% or more of an Australian media company must inform the Australian Communications and Media Authority (ACMA). </t>
  </si>
  <si>
    <t>Since August 1975, last amended in October 2024</t>
  </si>
  <si>
    <t>https://www.legislation.gov.au/C2004A04401/latest/text</t>
  </si>
  <si>
    <t>Foreign Acquisitions and Takeovers Act 1975; 
Security of Critical Infrastructure Act 2018</t>
  </si>
  <si>
    <t>The Foreign Acquisitions and Takeovers Act 1975 (FATA), overseen by the Foreign Investment Review Board (FIRB), regulates foreign investments and acquisitions in Australia. FATA enables the government to screen, approve, or block foreign investments that pose national security risks. Typically, FIRB approval is required when a foreign investor seeks at least a 20% interest. However, this threshold does not apply to foreign government investors, their associates, or to businesses classified as "national security businesses," all of which must obtain FIRB approval.
The Security of Critical Infrastructure Act 2018 (SOCI Act) designates 11 sectors as "critical infrastructure assets" that require FIRB approval, including communications, financial services, data storage, and energy. Foreign investments/acquisitions of businesses in these sectors must undergo mandatory FIRB screening and receive FIRB approval after evaluation.
In June 2024, the Australian government ordered five international companies linked to China to divest their shares in a strategically crucial Australian heavy rare earths project, following advice from the Foreign Investment Review Board (FIRB).</t>
  </si>
  <si>
    <t xml:space="preserve">Since August 1975, last amended in October 2024;
Since April 2018, last amended October 2023
</t>
  </si>
  <si>
    <t>https://www.abc.net.au/news/2024-06-03/northern-minerals-jim-chalmers-yuxiao-fund-investors/103927762</t>
  </si>
  <si>
    <t>Commercial presence requirements to offer cross-border services in sectors relevant to digital trade</t>
  </si>
  <si>
    <t xml:space="preserve">Under the Corporations Act 2001, any company registered outside Australia that meets the definition of a "foreign company" must register with the Australian Securities and Investments Commission (ASIC) to operate in Australia. Under section 3.7 on "registered office",Foreign companies must have a registered office in Australia, open and staffed from at least 10 am to 12 pm and 2 pm to 4 pm on business days, or provide notice of alternative hours. </t>
  </si>
  <si>
    <t>https://www.legislation.gov.au/C2004A00818</t>
  </si>
  <si>
    <t xml:space="preserve">https://asic.gov.au/for-business/registering-a-company/steps-to-register-a-company/foreign-companies/
</t>
  </si>
  <si>
    <t>4</t>
  </si>
  <si>
    <t>Patent application issues</t>
  </si>
  <si>
    <t xml:space="preserve">Patent Act 1990 </t>
  </si>
  <si>
    <t xml:space="preserve">No local presence requirement is found in the Patents Act 1990 as a prerequisite for applying for a patent. Although not limited to patents related to digital goods and processes, the World Intellectual Property Organization reports that in the past 10 years the number of foreign patent applicants and actual grants have been far greater than the domestic counterpart. 
Foreign patent applicants can apply for patent application through the Patent Cooperation Treaty system, allowing a singular patent to be applied to multiple countries.
Article 29B outlines special rules for Convention applications. These applications, filed under an international patent treaty, allow inventors to claim priority from an earlier patent application filed in another country. To file a Convention application, inventors must provide details of the earlier application and a complete specification. </t>
  </si>
  <si>
    <t xml:space="preserve">Since October 1990, last amended in October 2024
</t>
  </si>
  <si>
    <t>https://www.legislation.gov.au/C2004A04014</t>
  </si>
  <si>
    <t>Patent enforcement issues: civil and administrative procedures and remedies, provisional and other measures</t>
  </si>
  <si>
    <t xml:space="preserve">Patent enforcement is conducted under the Patents Act 1990. Civil enforcement procedures (Section 117, 120, 122) are primarily handled by the Federal Court of Australia, which has jurisdiction over patent disputes, including infringement cases and provisional measures (Section 123). Administrative matters related to patents, such as examinations and grants, are overseen by IP Australia, the national intellectual property agency.
</t>
  </si>
  <si>
    <t>Since October 1990, last amended in October 2024</t>
  </si>
  <si>
    <t>www.ipaustralia.gov.au</t>
  </si>
  <si>
    <t>No restrictive measure on patent enforcement was found.</t>
  </si>
  <si>
    <t>Not in the WIPO Copyright Treaty (WCT)</t>
  </si>
  <si>
    <t>Participation to the Patent Cooperation Treaty</t>
  </si>
  <si>
    <t>Australia has been a party to the Patent Cooperation Treaty since 1980.</t>
  </si>
  <si>
    <t>Since 1980</t>
  </si>
  <si>
    <t>https://www.wipo.int/pct/en/pct_contracting_states.html</t>
  </si>
  <si>
    <t>Lack of copyright framework and exceptions</t>
  </si>
  <si>
    <t>Copyright Act 1968</t>
  </si>
  <si>
    <t>Currently, the Copyright Act provides for listed fair dealing exceptions. These are 1) research or study, 2) criticism or review, 3) parody or satire, 4) reporting news, 5) enabling a person with a disability to access the material, and 6) professional advice by a lawyer, patent attorney or trademark attorney (Division 3).</t>
  </si>
  <si>
    <t>Since June 1968, last amended in October 2024</t>
  </si>
  <si>
    <t>https://www.legislation.gov.au/C1968A00063</t>
  </si>
  <si>
    <t>Online copyright enforcement issues: civil and administrative procedures and remedies; and provisional measures</t>
  </si>
  <si>
    <t xml:space="preserve">Copyright Act 1968 </t>
  </si>
  <si>
    <t>Under the Copyright Act 1968, copyright protection and enforcement in Australia. Civil remedies for copyright infringement, such as injunctions, damages, and account of profits, are outlined in Section 116A. Criminal offences (Division 5) relate to copyright infringement, including importing, possessing, selling, distributing, or commercially dealing with infringing copies.</t>
  </si>
  <si>
    <t>Signature of the WIPO Copyright Treaty</t>
  </si>
  <si>
    <t>Australia has acceded the WIPO Copyright Treaty since 2007.</t>
  </si>
  <si>
    <t>Since April 2007, in force since July 2007</t>
  </si>
  <si>
    <t>https://wipolex.wipo.int/en/treaties/ShowResults?search_what=C&amp;treaty_id=16</t>
  </si>
  <si>
    <t>Not in the WIPO Performances and Phonographs Treaty (WPPT)</t>
  </si>
  <si>
    <t>Signature of the WIPO Performances and Phonograms Treaty</t>
  </si>
  <si>
    <t>Australia has acceded the WIPO Performances and Phonograms Treaty since 2007.</t>
  </si>
  <si>
    <t>https://wipolex.wipo.int/en/treaties/ShowResults?search_what=C&amp;treaty_id=20</t>
  </si>
  <si>
    <t>Mandatory disclosure of trade secrets, such as source code and algorithms</t>
  </si>
  <si>
    <t>Corporations Act 2001;
Privacy Act 1988</t>
  </si>
  <si>
    <t xml:space="preserve">No mandatory disclosure of trade secrets measures are found. 
</t>
  </si>
  <si>
    <t>Since June 2001, last amended in October 2024;
Since December 1988, last amended in 2023 October 2024</t>
  </si>
  <si>
    <t>https://www.legislation.gov.au/C2004A03712</t>
  </si>
  <si>
    <t>Lack of effective trade secrets legal framework</t>
  </si>
  <si>
    <t xml:space="preserve">Corporations Act 2001;
Freedom of Information Act 1982;
Competition and Consumer Act 2010 </t>
  </si>
  <si>
    <t>Under Australian law, a 'trade secret' is considered to be merely a form of confidential information and does not have a clear or rigid meaning.
While Australia does not have a specific statutory regime for protecting trade secrets, there are various Acts which protect against the disclosure of confidential information through imposing an obligation of confidence. 
The Corporations Act 2001 provides that a person who obtains information because they are, or have been, a director or other officer or employee of a corporation must not improperly use the information.
Similarly, the Competition and Consumer Act 2010 states that a bargain between two parties never requires disclosure of a trade secret. 
In addition to claims for breach of contractual and statutory obligations of confidence, a common method of enforcing trade secrets that have been unlawfully disclosed is through the bringing of an equitable action for breach of confidence.
In addition, Australia complies with its obligations under article 39 of the 1995 Trade-Related Aspects of Intellectual Property Rights Agreement (TRIPS) by giving trade secrets legal protection through the equitable doctrine of "breach of confidence" and, where an appropriate clause exists, breach of contract.</t>
  </si>
  <si>
    <t xml:space="preserve">Since June 2001, last amended in October 2024;
Since March 1982, last amended in October 2024;
Since August 2010, last amended in October 2024 </t>
  </si>
  <si>
    <t>https://www.legislation.gov.au/C2004A00109</t>
  </si>
  <si>
    <t>https://www.legislation.gov.au/C2004A02562</t>
  </si>
  <si>
    <t>Absence of passive infrastructure sharing</t>
  </si>
  <si>
    <t xml:space="preserve">Telecommunications Act 1997 </t>
  </si>
  <si>
    <t>Telecommunications carriers have statutory rights of access to other carriers' towers and ducts, but such access is not mandated. Passive infrastructure sharing is practiced in Australia in the mobile sector: co-location is negotiated on a commercial basis. Carriers have regulated rights of access to towers owned by other carriers for the purposes of providing carriage services. The Telecommunications Act 1997 provides for carriers to provide other carriers with access to telecommunications transmission towers, the sites of telecommunications transmission towers and eligible underground facilities. The Australian Competition and Consumer Commission has made a code which sets out conditions that are to be complied with in relation to the provision of access.
Passive infrastructure sharing is also practiced in Australia in the fixed sector: the Australian Competition and Consumer Commission has declared the following services: - line sharing service (LSS) - local carriage service (LCS) - fixed originating access service (FOAS) - fixed terminating access service (FTAS) - unconditioned local loop service (ULLS) - wholesale line rental (WLR) - wholesale ADSL service (WADSL) Once a service is declared, a network owner must provide access to the service upon request.</t>
  </si>
  <si>
    <t>Since April 1997, last amended in October 2024</t>
  </si>
  <si>
    <t xml:space="preserve">https://www.accc.gov.au/regulated-infrastructure/communications/fixed-line-services/fixed-line-services-fad-inquiry-2018
</t>
  </si>
  <si>
    <t>https://www.accc.gov.au/media-release/accc-to-continue-telstras-fixed-line-services-regulation</t>
  </si>
  <si>
    <t>Foreign equity limits in telecom sector</t>
  </si>
  <si>
    <t xml:space="preserve">Telecommunications Act 1997; 
Telstra Corporation Act 1991 
</t>
  </si>
  <si>
    <t xml:space="preserve">The Telecommunications Act 1997 provides that "[a] condition of a carrier license may relate to the extent of foreign ownership or control (whether direct or indirect) of the holder" (Section 65). This restriction has been in place since its enactment in 1997. The Telstra Corporations Act 1991 provides under Section 8BG aggregate foreign ownership of Telstra (the incumbent telecommunication company) is limited to 35% and individual foreign investors are only allowed to own up to 5%. This specific cap was imposed in 1999 as part of an amendment of the Act. 
Note that Telstra Corporation was once a government-owned telecommunications provider. The Telstra Corporations Act established to manage the transition to a privatized company. 
</t>
  </si>
  <si>
    <t xml:space="preserve">Since April 1997, last amended in October 2024; 
Since June 1999, last amended in October 2024
</t>
  </si>
  <si>
    <t>https://www.legislation.gov.au/C2004A04154</t>
  </si>
  <si>
    <t>Shares owned by the Government in telecom companies</t>
  </si>
  <si>
    <t xml:space="preserve">National Broadband Network Companies Act 2011 
</t>
  </si>
  <si>
    <t>NBN Co. is a wholly government-owned enterprise tasked with designing, building, deploying, and operating a high-speed (internet) access network across Australia.
According to the National Broadband Network Companies Act 2011 (Subdivision A, Division 2, Part 3), the Commonwealth must retain full ownership of National Broadband Network Co (NBN Co). In addition, this ownership structure could be terminated only in limited circumstances (Subdivision B).</t>
  </si>
  <si>
    <t xml:space="preserve">Since March 2011, last amended in October 2023
</t>
  </si>
  <si>
    <t>https://www.legislation.gov.au/C2011A00022</t>
  </si>
  <si>
    <t>https://www.directory.gov.au/portfolios/infrastructure-transport-regional-development-and-communications/nbn-co-limited/nbn-co-limited-board#:~:text=NBN%20Co%20Limited%20(NBN%20Co,and%20the%20Minister%20of%20Finance.</t>
  </si>
  <si>
    <t>Lack of functional/accounting separation</t>
  </si>
  <si>
    <t>Telecommunications Act 1997;
Carrier Licence Conditions (Networks supplying Superfast Carriage Services to Residential Customers) Declaration 2014</t>
  </si>
  <si>
    <t>Functional separation is mandated for operators with significant market power under the Telecommunications Act 1997 (Part 8) and the Carrier Licence Conditions Declaration. Accounting separation is mandated only in some cases: NBN Co is required to maintain separate accounts for its different technology units.</t>
  </si>
  <si>
    <t>Since April 1997, last amended in October 2024; 
Since December 2014, last amended in February 2023</t>
  </si>
  <si>
    <t>https://www.legislation.gov.au/F2014L01699</t>
  </si>
  <si>
    <t>Official text concerning accounting separation for NBN Co: https://www.accc.gov.au/system/files/Draft%20decision%20-%20NBN%20Co%20SAU%20variation%20-%202%20May%202023.pdf</t>
  </si>
  <si>
    <t>https://www.accc.gov.au/by-industry/telecommunications-and-internet/superfast-fixed-line-broadband-networks-regulation/industry-guidance-on-the-carrier-separation-rules</t>
  </si>
  <si>
    <t>Licensing requirements in telecom sector for operators</t>
  </si>
  <si>
    <t>Telecommunications Act 1997;
Telecommunications Regulations 2021</t>
  </si>
  <si>
    <t>Telecommunications licence: Except in limited circumstances, the owner of a network unit (cable, wireless, or satellite) used to supply carriage services to the public must hold a Carrier Licence. To eligible for this licence, the company must be a constitutional corporation, eligible partnership or public body. But no discriminatory terms are found. 
Content Service Providers: There is no licence required, however the company will need to comply with the content rules determined by ACMA.</t>
  </si>
  <si>
    <t>Since April 1997, last amended in October 2024; 
Since March 2021, last amended in October 2024</t>
  </si>
  <si>
    <t>https://www.legislation.gov.au/F2021L00289/</t>
  </si>
  <si>
    <t>http://classic.austlii.edu.au/au/legis/cth/num_reg/tr2021202100289339/</t>
  </si>
  <si>
    <t>Telecommunications Act 1997; 
Telecommunications (Consumer Protection and Service Standards) Act 1999; 
Telecommunications (Emergency Call Service) Determination 2019</t>
  </si>
  <si>
    <t xml:space="preserve">Voice over Internet Protocol (VoIP) providers do not need to have any particular licenses to operate, but they are regulated by the Australian Communications Media Authority under the Telecommunications Act 1997 and Telecommunications (Consumer Protection and Service Standards) Act 1999. 
VoIP providers are classified as content service providers. Thus, under the Telecommunications (Emergency Call Service) Determination 2019, they are obliged to provide access to emergency services if they provide a Standard Telephone Service (STS). For example, in providing emergency services, they must provide the correct calling line identification and three digit 'ABC' codes to identify caller location. </t>
  </si>
  <si>
    <t>Since April 1997, last amended in October 2024;
Since July 1999, last amended in June 2024;
Since November 2019, last amended in October 2024</t>
  </si>
  <si>
    <t>https://www.legislation.gov.au/C2004A00441</t>
  </si>
  <si>
    <t>https://www.legislation.gov.au/F2019L01509</t>
  </si>
  <si>
    <t>Not in the WTO Telecom Reference Paper</t>
  </si>
  <si>
    <t>WTO Telecom Reference Paper</t>
  </si>
  <si>
    <t>Australia has attached the WTO Telecom Reference Paper to its schedule of commitments</t>
  </si>
  <si>
    <t>Since 1994</t>
  </si>
  <si>
    <t>https://www.wto.org/english/tratop_e/serv_e/telecom_e/sc6.pdf</t>
  </si>
  <si>
    <t>https://www.wto.org/english/tratop_e/serv_e/telecom_e/telecom_commit_exempt_list_e.htm</t>
  </si>
  <si>
    <t>https://www.wto.org/english/tratop_e/serv_e/telecom_e/telecom_highlights_commit_exempt_e.htm#country</t>
  </si>
  <si>
    <t>Lack of independent telecom authority</t>
  </si>
  <si>
    <t xml:space="preserve">Australian Communications and Media Authority Act 2005 </t>
  </si>
  <si>
    <t>Act No. 44 establishes that Australia has an independent telecommunications authority, the Australian Communications and Media Authority (ACMA). Yet, Division 4 of the Act establishes that "the Minister may give written directions to the ACMA in relation to the performance of its functions and the exercise of its powers. However, such a direction can only be of a general nature if it relates to the ACMA’s broadcasting, content and datacasting functions; or the ACMA’s powers relating to those functions".</t>
  </si>
  <si>
    <t xml:space="preserve">Since April 2005, last amended in July 2024 </t>
  </si>
  <si>
    <t>https://www.legislation.gov.au/Details/C2005A00044</t>
  </si>
  <si>
    <t>Ban and local processing requirements
Exception: Not score data localization measure applied to government data.</t>
  </si>
  <si>
    <t>My Health Records Act 2012</t>
  </si>
  <si>
    <t>The My Health Records Act 2012 (Section 77) mandates that such government medical records must not be held or processed outside national borders, ensuring data security and sovereignty. Exceptions apply only if the records do not include personal or identifying information related to healthcare recipients or participants in the system.</t>
  </si>
  <si>
    <t xml:space="preserve">Since June 2012, last amended in October 2024
</t>
  </si>
  <si>
    <t>https://www.legislation.gov.au/C2012A00063</t>
  </si>
  <si>
    <t>https://www.ag.gov.au/rights-and-protections/consultations/apec-cross-border-privacy-rules-australias-participation</t>
  </si>
  <si>
    <t>Local storage requirements
Exception: Not score data localization measure applied to government data.</t>
  </si>
  <si>
    <t>The My Health Records Act 2012 (Section 77) mandates that such government medical records must be stored and processed within Australia, ensuring data security and sovereignty. Exceptions apply only if the records do not include personal or identifying information related to healthcare recipients or participants in the system.</t>
  </si>
  <si>
    <t xml:space="preserve">Since June 2012, last amended in October 2024
</t>
  </si>
  <si>
    <t>Infrastructure requirements
Exception: Not score data localization measure applied to government data.</t>
  </si>
  <si>
    <t xml:space="preserve">Privacy Act 1988 
</t>
  </si>
  <si>
    <t>No infrastructure requirements were found.</t>
  </si>
  <si>
    <t>Since December 1988, last amended in October 2024</t>
  </si>
  <si>
    <t>6</t>
  </si>
  <si>
    <t>Conditional flow regimes
Exception: Not score data localization measure applied to government data.</t>
  </si>
  <si>
    <t>Under Australian Privacy Principle 8 (APP 8) of the Privacy Act 1988, cross-border disclosure of personal information is allowed in certain conditions, including when the recipient country has similar privacy protections to Australia, when the individual gives consent, or when required by law. Different rules apply for government data, including restrictions to stay within Australia.</t>
  </si>
  <si>
    <t xml:space="preserve">https://www.legislation.gov.au/C2004A03712
</t>
  </si>
  <si>
    <t>Not in an agreement with binding commitments on data transfer.</t>
  </si>
  <si>
    <t>Singapore-Australia Free Trade Agreement;
Australia-Peru Free Trade Agreement;
Comprehensive and Progressive Agreement for Trans-Pacific Partnership; 
Indonesia - Australia Comprehensive Economic Partnership Agreement; 
Australia-Hong Kong Free Trade Agreement and associated Investment Agreement; 
Australia-United Kingdom Free Trade Agreement; 
Australia-United States CLOUD Act Agreement; 
Australia-Singapore Digital Economy Agreement;
APEC Cross-Border Privacy Rules (CBPR)</t>
  </si>
  <si>
    <t>Australia has joined agreements with binding commitments to open transfers of data across borders: the Singapore-Australia Free Trade Agreement (SAFTA, Chapter 14, Art. 13), the Australia-Peru Free Trade Agreement (Art. 13.11), the Comprehensive and Progressive Agreement for Trans-Pacific Partnership (CPTPP, Art. 14.11), the Indonesia - Australia Comprehensive Economic Partnership Agreement (Art. 13.11), the Australia-Hong Kong Free Trade Agreement and associated Investment Agreement [Article 11.7(2) and 11.15(1)], and the Australia-United Kingdom Free Trade Agreement [14.10(2)]; The CLOUD Act Agreement between Australia and the United States; the Australia-Singapore Digital Economy Agreement (DEA); Trans-Pacific Partnership Agreement [Article 14.11].
Australia participates in the APEC Cross-Border Privacy Rules (CBPR) System, which facilitates the free movement of personal data across borders among participating APEC economies while ensuring strong privacy protections.</t>
  </si>
  <si>
    <t>In force since 2017;
In force since 2020;
In force since 2018;
In force since 2020;
In force since 2020;
In force since 2023;
In force since 2021;
In force since 2020;
Since July 2017</t>
  </si>
  <si>
    <t>https://www.dfat.gov.au/trade/agreements/in-force/safta/singapore-australia-fta;
https://www.dfat.gov.au/trade/agreements/in-force/pafta/Pages/peru-australia-fta;
https://www.dfat.gov.au/trade/agreements/in-force/cptpp/comprehensive-and-progressive-agreement-for-trans-pacific-partnership;
https://www.dfat.gov.au/trade/agreements/in-force/iacepa/indonesia-australia-comprehensive-economic-partnership-agreement;
https://www.dfat.gov.au/trade/agreements/in-force/a-hkfta/Pages/default;
https://www.dfat.gov.au/trade/agreements/in-force/aukfta;
https://www.homeaffairs.gov.au/about-us/our-portfolios/national-security/lawful-access-telecommunications/australia-united-states-cloud-act-agreement;
https://www.dfat.gov.au/trade/services-and-digital-trade/australia-and-singapore-digital-economy-agreement;
https://www.ag.gov.au/rights-and-protections/consultations/apec-cross-border-privacy-rules-australias-participation</t>
  </si>
  <si>
    <t>Lack of comprehensive legal framework for data protection</t>
  </si>
  <si>
    <t>The Privacy Act 1988 is the primary federal legislation that governs protection of personal information and applies horizontally. The Act includes thirteen Privacy Principles, which set out standards, rights and obligations for the handling, holding, use, accessing and correction of personal information (including sensitive information. The Privacy Act's amendment in 2018 introduced a mandatory notification scheme for entities in responding to data breaches. The Notifiable Data Breach Scheme (NDB scheme) introduced an obligation to notify individuals whose personal information is involved in a data breach that is likely to result in serious harm. The NDB scheme applies to all agencies and organisations with existing personal information security obligations under the Australian Privacy Act. The Privacy Act's amendment in 2023 increases the maximum penalties for serious or repeated privacy breaches and provides the Australian Information Commissioner with greater powers to resolve privacy breaches and quickly share information about data breaches.</t>
  </si>
  <si>
    <t>https://www.oaic.gov.au/privacy/notifiable-data-breaches</t>
  </si>
  <si>
    <t>7</t>
  </si>
  <si>
    <t>Minimum period of data retention requirements
Exception: Not score requirement applied to government data.</t>
  </si>
  <si>
    <t>Telecommunications (Interception and Access) Act 1979</t>
  </si>
  <si>
    <t>The Telecommunications (Interception and Access) Act 1979 requires a telecommunication service provider to keep specific telecommunications data relating to the services it offers for two years (187C). The dataset to be kept includes: the subscriber and the accounts of telecommunications devices, the source of a communication, the destination of a communication, the date, time and duration of a communication, the type of a communication, and the location of equipment or a line used (187AA). This retention scheme was inserted into the Act by the Telecommunications (Interception and Access) Amendment (Data Retention) Act 2015.</t>
  </si>
  <si>
    <t xml:space="preserve">Since October 1979, last amended in October 2024 </t>
  </si>
  <si>
    <t>https://www.legislation.gov.au/C2004A02124/latest/text</t>
  </si>
  <si>
    <t>Data Protection Impact Assessment (DPIA) or Data Protection Officer (DPO) requirements</t>
  </si>
  <si>
    <t>Privacy Impact Assessment 2020</t>
  </si>
  <si>
    <t>A Privacy Impact Assessment ('PIA') is contemplated by Australian privacy law but, apart from government agencies, is not mandated. However, arguably a PIA is, if not required, highly recommended to fulfil one's obligations under APP 1.2. The guidance and recommendations of the OAIC are that a PIA should be used for any new, changed/varied or altered process, method, or technology used that processes any personal information. In addition, the OAIC may, in writing, direct an agency to conduct a PIA, within a specified period if an agency proposes to engage in an activity or function involving the handling of personal information about individuals, and the OAIC considers that the activity or function might have a significant impact on the privacy of individual (Section 33D(1) of the Privacy Act).</t>
  </si>
  <si>
    <t>Since 2020</t>
  </si>
  <si>
    <t>https://www.oaic.gov.au/privacy/guidance-and-advice/privacy-management-framework-enabling-compliance-and-encouraging-good-practice/#step-1-embed-a-culture-of-privacy-that-enables-compliance</t>
  </si>
  <si>
    <t>Requirements to allow government access to personal data</t>
  </si>
  <si>
    <t xml:space="preserve">Data Availability and Transparency Act 2022 </t>
  </si>
  <si>
    <t>On 1 April 2022, the Data Availability and Transparency Act 2022 commenced, creating a new scheme for sharing Commonwealth Government data. Under the Act, authorised Commonwealth bodies can provide controlled access to public sector data to accredited users, being accredited state and federal government entities and public Australian universities, for specific purposes in the public interest. Specifically, under Article 104, if the Commissioner reasonably believes that a person has information or a document relevant to an investigation under section 101, or to any other of the Commissioner’s regulatory functions set out in section 45, the Commissioner may, by written notice given to the person, require the person to give the information, or produce the document, to the Commissioner within the period specified in the notice.</t>
  </si>
  <si>
    <t>Since March 2022, last amended October 2024</t>
  </si>
  <si>
    <t>https://www.legislation.gov.au/C2022A00011/latest/text</t>
  </si>
  <si>
    <t>https://www.datacommissioner.gov.au/law/dat-act</t>
  </si>
  <si>
    <t>Telecommunications (Interception and Access) Act 1979; 
Telecommunications and Other Legislation Amendment (Assistance and Access) Act 2018; 
Telecommunications Legislation Amendment (International Production Orders) Act 2021;
Telecommunications Regulations 2021;
Telecommunications Act 1997</t>
  </si>
  <si>
    <t>The Telecommunications (Interception and Access) Act 1979 allows law enforcement to intercept user communications, even without a warrant in emergencies or for capability testing. It details various warrants like interception (Section 10) and stored communications (Section 110). The Telecommunications and Other Legislation Amendment (Assistance and Access) Act 2018 provides industry assistance powers, ensuring cooperation with executing these warrants. However, Section 317ZH states these powers are void if they'd require a warrant under other mentioned acts. The Telecommunications Legislation Amendment (International Production Orders) Act 2020 permits the government to retrieve encrypted data from foreign companies. The Telecommunications Regulations 2021 enables cooperation between telecommunications providers, financial institutions and state agencies to reduce cyber risks, including via personal information sharing.
The Telecommunications Act 1997, as amended in 2018, provides for three types of requests or notices that the government and certain security and law enforcement agencies can issue to communications providers</t>
  </si>
  <si>
    <t>Since October 1979, last amended in October 2024;
Since December 2018, last amended in September 2021;
Since July 2021;
Since March 2021, last amended in October 2024;
Since April 1997, last amended in October 2024</t>
  </si>
  <si>
    <t>https://www.legislation.gov.au/C2004A02124/;
https://www.legislation.gov.au/Details/C2021C00496;
https://www.legislation.gov.au/Details/C2021A00078;
https://www.legislation.gov.au/Details/C2023C00106;
https://www.legislation.gov.au/F2021L00289;
https://www.legislation.gov.au/C2004A05145</t>
  </si>
  <si>
    <t>Australian Security Intelligence Organisation Act 1979; 
Surveillance Legislation Amendment (Identify and Disrupt) Act 2021;
Data Availability and Transparency Act 2022</t>
  </si>
  <si>
    <t>The Australian Security Intelligence Act 1979 includes a computer access warrant (Section 25A) permitting the use of telecom facilities to access relevant data
The Surveillance Legislation Amendment (Identify and Disrupt) Act extends the nation's surveillance capabilities, to disrupt data (Section 6), takeover data (Schedule 3) and monitor network activity (Schedule 2).
The Data Availability and Transparency Bill allows governmental authorities to distribute personal data across its agencies.</t>
  </si>
  <si>
    <t xml:space="preserve">Since October 1979, last amended in October 2024;
Since September 2021;
Since March 2022, last amended in October 2024;
</t>
  </si>
  <si>
    <t xml:space="preserve">https://www.legislation.gov.au/C2004A02123;
https://www.legislation.gov.au/Details/C2021A00098;
https://www.legislation.gov.au/C2022A00011
</t>
  </si>
  <si>
    <t>Lack of safe harbour for copyright infringements</t>
  </si>
  <si>
    <t xml:space="preserve">The Copyright Act 1968 No.54
Copyright Amendment (Service Providers) Bill 2017 </t>
  </si>
  <si>
    <t>The Copyright Act contains safe harbour protections (under Division 2AA) for service providers defined under section 116ABA, including a carriage service provider, an organisation assisting persons with a disability, the body administering a library/an archives/a key cultural institution/an educational institution. The Act also defines the certain conditions to be satisfied to take advantage of the limitations (Subdivision B, C, and D under Division 2AA). 
These provisions limit the remedies available against service providers for copyright infringements arising from certain online activities conducted by these providers (116AA). However, this Division does not affect the application of other provisions of the Act in determining whether copyright infringement has occurred.</t>
  </si>
  <si>
    <t xml:space="preserve">Since June 1968, last amended in October 2024 </t>
  </si>
  <si>
    <t>https://www.ipaustralia.gov.au/ip-for-digital-business/grow/liability-of-hosting-platforms%E2%80%90safe-habour</t>
  </si>
  <si>
    <t>8</t>
  </si>
  <si>
    <t>Export restrictions on ICTgoods and online services</t>
  </si>
  <si>
    <t>Criminal Code Amendment (Sharing of Abhorrent Violent Material) Act 2019; 
Online Safety Act 2021; 
Online Safety (Basic Online Safety Expectations) Determination 2022</t>
  </si>
  <si>
    <t>The Criminal Code Amendment (Sharing of Abhorrent Violent Material) Act 2019, which was enacted in the wake of the Christchurch attack on 2019, subjects Internet service providers and content providers to criminal penalties for the failure to report or remove "abhorrent violent material" that the providers have reasonable grounds to believe records or streams abhorrent violent conduct in Australia (Section 434.33-34).
The Online Safety Act 2021 has significant implications for online service providers because it makes them more accountable for the online safety of the people who use their service. The Act gives eSafety substantial new powers to protect all Australians across most online platforms and forums where people can experience harm. The Act also requires industry to develop new codes to regulate illegal and restricted content. This refers to the most seriously harmful material, such as videos showing sexual abuse of children or acts of terrorism, through to content that is inappropriate for children, such as high impact violence and nudity. If the harmful content or post is not removed within 24 hours, a fine of up to 500 penalty units will be applied — for individuals, up to $111,000 and for organisations up to $555,000.
The Basic Online Safety Expectations 2022 (BOSE) is a mechanism for the Commonwealth Government to “articulate its expectations of online services providers, on behalf of the community, to improve protections for users” and that “service providers are best placed to identify emerging forms of harmful end-user conduct or material, and choose the best way to address them on their service, in the most responsive way”. The BOSE establishes a higher standard for online service providers, designed to ensure that certain online service providers prioritise online safety by imposing on them minimum standards for pre-emptive and preventative action to minimise harm that can occur via their online services, such as cyber-bullying or exposure to illegal or restricted material.</t>
  </si>
  <si>
    <t>Since April 2019;
Since July 2021, last amended in October 2024;
Since 2022</t>
  </si>
  <si>
    <t xml:space="preserve">https://www.legislation.gov.au/Details/C2019A00038
</t>
  </si>
  <si>
    <t>https://www.legislation.gov.au/C2021A00076</t>
  </si>
  <si>
    <t>https://www.legislation.gov.au/Details/F2022L00062</t>
  </si>
  <si>
    <t>User identify requirements</t>
  </si>
  <si>
    <t>Telecommunications (Service Provider — Identity Checks for Prepaid Mobile Carriage Services) Determination 2017</t>
  </si>
  <si>
    <t xml:space="preserve">Telecommunication companies must identify their customer when that customer wants to activate a prepaid mobile service (Section 4.2). To activate a new prepaid mobile service, customers need to give their telecommunication company their name, date of birth and home address (or business name and address if acting on behalf of a business) (Section 4.3). Proof of ID is also necessary (Section 1.8). </t>
  </si>
  <si>
    <t xml:space="preserve">Since April 2017 </t>
  </si>
  <si>
    <t>https://www.legislation.gov.au/F2017L00399</t>
  </si>
  <si>
    <t>https://www.acma.gov.au/acmas-rules-id-checks-prepaid-mobiles</t>
  </si>
  <si>
    <t>Monitoring requirements</t>
  </si>
  <si>
    <t>Criminal Code Amendment (Sharing of Abhorrent Violent Material) Act 2019</t>
  </si>
  <si>
    <t xml:space="preserve">The Criminal Code Amendment (Sharing of Abhorrent Violent Material) Act 2019, subjects internet service providers, hosting and content providers to criminal penalties for the failure to report or remove "abhorrent violent material" that the providers have reasonable grounds to believe records or streams abhorrent violent conduct in Australia (Section 434.33-34).
The two key offences are:
- Failure to report—an offence for internet service providers, hosting and content providers that fail to notify the Australian Federal Police (AFP) within a reasonable time about material relating to abhorrent violent conduct occurring in Australia. A defence is available if the service provider can show that they had reasonable grounds to believe the AFP was already aware of the details of the material.
- Failure to remove—offences for content service and hosting services that fail to remove access to abhorrent violent material expeditiously where that material is reasonably capable of being accessed within Australia. The Act provides a range of defences to this offence. For example, in circumstances where it relates to law enforcement purposes, news and current affairs, public policy advocacy and research purposes.
</t>
  </si>
  <si>
    <t xml:space="preserve">Since April 2019 </t>
  </si>
  <si>
    <t>https://www.legislation.gov.au/Details/C2019A00038</t>
  </si>
  <si>
    <t>https://www.ag.gov.au/crime/publications/abhorrent-violent-material-act-fact-sheet</t>
  </si>
  <si>
    <t>Telecommunications (Interception and Access) Act 1979; 
Telecommunications and Other Legislation Amendment (Assistance and Access) Act 2018</t>
  </si>
  <si>
    <t xml:space="preserve">It is prohibited for Internet service providers (ISPs)  and telecommunications services providers, acting on their own, to monitor and disclose the content of communications without the customer’s consent under the Telecommunications (Interception and Access) Act 1979 (Section 7). Such entities may monitor communications under the Telecommunications and Other Legislation Amendment (Assistance and Access) Act 2018 when required to assist certain law enforcement or national security agencies in carrying out their duties. The entities are also able to, but not required to, monitor their networks to carry out "network protection duties." 
Although there is no general monitoring requirement on telecommunications and Internet service providers, the Criminal Code Amendment (Sharing of Abhorrent Violent Conduct) Act 2019 provides that "[a] person commits an offence if:
(a)  the person provides a hosting service; and
(b)  material is hosted on the hosting service; and
(c)  the material is abhorrent violent material; and
(d)  the person does not expeditiously cease hosting the material (Section 474.34(5)). 
Although the Act does not impose a duty to monitor content, as for "abhorrent violent conduct", it implies that Internet hosts need to put reasonable efforts to monitor and disable such materials. </t>
  </si>
  <si>
    <t xml:space="preserve">Since October 1979, last amended in October 2024; 
Since December 2018, last amended in September 2021
</t>
  </si>
  <si>
    <t xml:space="preserve">https://www.legislation.gov.au/C2004A02124
</t>
  </si>
  <si>
    <t>https://www.legislation.gov.au/Details/C2021C00496</t>
  </si>
  <si>
    <t>Online Safety Act 2021</t>
  </si>
  <si>
    <t>Australia enacted an Online Safety Act that places additional responsibilities on digital platforms and internet service providers (ISPs) to remove harmful content posted on their services. Specifically, the Act reduces the time a site owner or ISP has to remove harmful content from 48 hours to 24 hours when served with a removal notice by the eSafety Commissioner. It also provides the eSafety Commissioner additional information collection powers and the power to require ISPs to disable access to material depicting violent conduct for a limited period during “crisis situations.”</t>
  </si>
  <si>
    <t>Since July 2021, last amended in October 2024</t>
  </si>
  <si>
    <t>Blocking or filtering commercial web content
Exception: Not score political content, criminal content (e.g., child pornography), aged-restricted content, defamation and other non-commercial content.</t>
  </si>
  <si>
    <t>For contents implicating copyright infringements, the Copyright Act 1968 allows the owner of a copyright to request for an injunction against carriage service providers, including search engine providers, providing access to online locations outside Australia to take reasonable steps to disable access to the online locations that implicate copyright infringements (Section 115A). This section was inserted into the Copyright Act in June 2015. The Freedom House reported in 2019 that "[o]owners of copyrighted material periodically obtain orders from the Federal Court of Australia blocking copyright-infringing websites. In a decision of the Federal Court in April 2020, orders were made requiring carriage service providers to block a range of copyright-infringing websites, the majority of which are pirate torrenting and streaming websites."</t>
  </si>
  <si>
    <t xml:space="preserve">Since June 1968, as amended in October 2024 </t>
  </si>
  <si>
    <t xml:space="preserve">Online Safety Act 2021 </t>
  </si>
  <si>
    <t>As per Part 8 of the Online Safety Act, an internet service provider may be requested or required to block access to: material that promotes/incites/instructs/depicts abhorrent violent conduct. Examples of steps that may be specified in the blocking request include (a) steps to block domain names that provide access to the material; (b) steps to block URLs that provide access to the material; (c) steps to block IP addresses that provide access to the material. The Commissioner is also not required to observe any requirements of procedural fairness in relation to the giving of the blocking request.</t>
  </si>
  <si>
    <t>Internet shutdowns</t>
  </si>
  <si>
    <t>V-Dem, variable v2smgovshut</t>
  </si>
  <si>
    <t xml:space="preserve">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3.96 in 2024 in Australia. This corresponds to "Never, or almost never. The government does not typically interfere with the domestic access to the Internet." </t>
  </si>
  <si>
    <t>Reported in 2024</t>
  </si>
  <si>
    <t>https://www.v-dem.net/vdemds.html</t>
  </si>
  <si>
    <t>Online advertising requirements
Exception: Not score requirements that advertising should not be misleading</t>
  </si>
  <si>
    <t>Broadcasting Services Act 1992; 
Broadcasting Services (Online Content Service Provider Rules) 2018;
Broadcasting Services (Australian Content in Advertising) Standard 2018</t>
  </si>
  <si>
    <t>There are requirements for gambling advertisement during live sport streamed over the internet under the Broadcasting Services (Online Content Service Provider Rules) 2018.
 In addition, at least 80% of ads on commercial TV between 6am and midnight must be Australian made under Broadcasting Services (Australian Content in Advertising) Standard 2018 (Part 2, Section 8). There are also regulations on advertisement during children's TV, advertisement for alcohol, tobacco or therapeutic goods, as well as election, referendum, and political advertisement.</t>
  </si>
  <si>
    <t>Since July 1992, last amended in October 2024;
Since August 2018;
Since December 2018</t>
  </si>
  <si>
    <t xml:space="preserve">https://www.legislation.gov.au/C2004A04401
</t>
  </si>
  <si>
    <t>https://www.legislation.gov.au/Details/F2018L01203</t>
  </si>
  <si>
    <t>https://www.legislation.gov.au/Details/F2018L01765</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</si>
  <si>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</si>
  <si>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Australian Business Licence and Information Service (ABLIS) to check relevant licensing requirement</t>
  </si>
  <si>
    <t>No licensing requirement for online service providers are found. Previously, the Australian Cyber Security Centre (ACSC) commissioned an independent review of its Cloud Services Certification Program (CSCP) and Infosec Registered Assessors Program (IRAP).From 2 March 2020, ASD ceased the CSCP.</t>
  </si>
  <si>
    <t xml:space="preserve">Last review in November 2024 </t>
  </si>
  <si>
    <t>https://ablis.business.gov.au/</t>
  </si>
  <si>
    <t>Import ban applied to ICT goods and online services (e.g. network equipment, servers, handsets, applications, and data processing)</t>
  </si>
  <si>
    <t>Customs (Prohibited Imports) Regulations 1956</t>
  </si>
  <si>
    <t>No import bans on ICT goods or digital services have been found.</t>
  </si>
  <si>
    <t xml:space="preserve">Since December 1956, last amended in October 2024 </t>
  </si>
  <si>
    <t>https://www.legislation.gov.au/F1996B03651</t>
  </si>
  <si>
    <t>https://www.abf.gov.au/importing-exporting-and-manufacturing/prohibited-goods/list-of-items#</t>
  </si>
  <si>
    <t>Other import restrictions on ICT goods and online services</t>
  </si>
  <si>
    <t>Customs Act 1901 Compilation; 
Greenhouse and Energy Minimum Standards Act 2012;
Commerce (Trade Descriptions) Regulation 2016</t>
  </si>
  <si>
    <t>Under the GEMS Act 2012, products that consume or influence energy usage and belong to a class with a GEMS determination must meet specific energy efficiency and performance standards, and be registered before import (Part 2, Section 11). Such products must comply with Minimum Energy Performance Standards (MEPS) and, if applicable, display an Energy Rating Label (Part 4, Section 22).
Import of goods without a trade description is prohibited for electrical appliances, including batteries &amp; electrical apparatus or accessories, including electric incandescent lights (Section 10)</t>
  </si>
  <si>
    <t>Since October 1901, last amended in October 2024;
Since October 2012, last amended in October 2024;
Since April 2017, last amended in March 2019</t>
  </si>
  <si>
    <t xml:space="preserve">https://www.legislation.gov.au/C1901A00006;
</t>
  </si>
  <si>
    <t>https://www.legislation.gov.au/C2012A00132/latest/versions</t>
  </si>
  <si>
    <t>https://www.legislation.gov.au/F2016L01907/latest/text</t>
  </si>
  <si>
    <t>https://www.energyrating.gov.au/industry-information/products</t>
  </si>
  <si>
    <t xml:space="preserve">Local content requirements </t>
  </si>
  <si>
    <t xml:space="preserve">Free-to air commercial television stations are subject to Australian content quotas under the Broadcasting Services Act 1992. These content quotas require them to broadcast between 6am – 12am each day: (1) 55% of Australian content on primary channels annually; and (2) 1,460 hours of Australian content on non-primary channels annually. Free-to-air television in Australia is primarily viewed on the Digital Terrestrial Television (DTT platform), delivered over radiofrequency spectrum using DVB-T.
</t>
  </si>
  <si>
    <t xml:space="preserve">Since July 1992, last amended in October 2024
</t>
  </si>
  <si>
    <t xml:space="preserve">Defence Trade Controls Act 2012; 
Customs (Prohibited Exports) Regulations 1958;
Defence and Strategic Goods List 2024
</t>
  </si>
  <si>
    <t xml:space="preserve">The Defence Trade Controls Act 2012 lays out Australia’s export control regime for intangible technology listed on the Defence and Strategic Goods List (DSGL). The DSGL includes technologies which are required for the development, production or use of dual-use goods and munitions listed in the DSGL. Previously, controls were only imposed on tangible technology exports related to the DSGL, but the new act goes further by imposing controls on the exportation of intangible technology related to the DSGL. The Customs Regulations 1958 Regulation 13E provides that "[t]he exportation from Australia of [the goods specified in DSGL and goods containing DSGL technology are] prohibited. Regulation 13EA sets out some exceptions to this export prohibition. The DSGL has been updated and came into effect in August 2024.
Specifically, Section 5 of the List refers to Telecommunication systems and equipment, and specially designed components and accessories, advanced capabilities across encryption, resistance to extreme temperatures/radiation, advanced radios across certain spectrums and channel cycling speeds, jamming or other interception technology, counter explosive equipment, network communication surveillance technology used by law enforcement and systems to defeat or bypass information security. </t>
  </si>
  <si>
    <t>Since November 2012, last amended in October 2024;
Since January 1958, last amended in October 2024;
Since August 2024</t>
  </si>
  <si>
    <t>https://www.legislation.gov.au/C2012A00153</t>
  </si>
  <si>
    <t>https://www.legislation.gov.au/F1996B03403</t>
  </si>
  <si>
    <t>https://www.legislation.gov.au/F2024L01024</t>
  </si>
  <si>
    <t>Lack of transparent technical standards</t>
  </si>
  <si>
    <t>Structure and Operation of Standardisation Committees (SG-002);
Nominating Organisation Guide</t>
  </si>
  <si>
    <t xml:space="preserve">The standard-setting process is a collaborative and a transparent process. It includes a wide range of stakeholders (international, private/public sector) and the treatment of intellectual property (IP) issues. For example, the Technical Committee, responsible for developments of new standards include representatives from government agencies, business, and industry organizations and associations. 
To regulate electrical products, the Australian Communications and Media Authority (ACMC) derive technical standards from Standards Alliance, a non-government and not-for-profit standards organization, if not from international standard bodies or national regulatory agencies. In developing standards, Standards Alliance form technical committees which can consist of technical, business, academic, government, and community experts as representatives from nominating organizations. According to the Structure and Operation of Standardisation Committees (SG-002) and Nominating Organization Guide, to be eligible as a nominating organization, it must have its headquarters based in Australia, have an Australian membership base, and represent a constituency among other requirements. SG-002 was published in 2001 and recently amended in June 2023. </t>
  </si>
  <si>
    <t>Since May 2024;
Since November 2021</t>
  </si>
  <si>
    <t xml:space="preserve">https://www.standards.org.au/getmedia/00a7a293-b416-4bb5-81f7-79e9a6cf2107/SG-002-Structure-and-Operation-of-Standardisation-Committees.pdf.aspx
</t>
  </si>
  <si>
    <t>https://www.standards.org.au/documents/nominating-organisation-guide</t>
  </si>
  <si>
    <t>Self-certification limitations for product safety (radio transmissions, EMC/EMI)</t>
  </si>
  <si>
    <t xml:space="preserve">Telecommunications Act 1997; 
Radiocommunications Act 1992 
</t>
  </si>
  <si>
    <t xml:space="preserve">To ensure compliance with the technical regulatory arrangements, suppliers must make and hold a Declaration of Conformity, the product of which falls under the jurisdiction of The Australian Communications and Media Authority (ACMC). The document should be signed by the Australian supplier or overseas manufacturer to certify that the product meets applicable standards. It must be signed by a person who holds a senior position in the company or organisation. The signatory should have sighted the evidence that supports the declaration and be satisfied of the grounds for compliance. It should be made available by the supplier for audit purposes on request, in writing, from either the Australian Communications Authority (ACA) or the Radio Spectrum Management Group (RSM) of the New Zealand Ministry of Economic Development Electrical products become subject to testing requirements when exported. 
To become Registered Responsible Suppliers and sell In-scope electrical equipment in EESS participating jurisdictions, all Responsible Suppliers must register in the EESS Registration Database, make a Responsible Suppliers Declaration that their In-scope equipment is electrically safe, meets all relevant standards and mark the equipment with the Regulatory Compliance Mark (RCM). In addition to the Responsible Supplier Declaration, Registered Responsible Suppliers (or Authorised Representative) must also make Equipment Declarations for Level 2 and Level 3 electrical equipment. The Equipment Declaration is specific to Level 2 and Level 3 in-scope electrical equipment and is made when equipment of this type is registered on the database. These declarations include statements that equipment meets Level-specific relevant standards in a way that is required under the EESS.
The Telecommunications Act 1997 regulates telecommunications equipment. The Radiocommunications Act 1992 regulates radiocommunications equipment, electrical or electronic household products, and radio transmitters. The ACMC allows a self declaration of conformity (SDoC) as long as the declaration contains all of the information in Australia's Declaration of Conformity (Form C02) and acknowledges that the product complies with the ACMC standards. Whoever signs the SDoC must see the evidence that the product complies with the rules and agree that the records show that the product complies with the rules. A supplier may be required to submit a separate test report from a designated testing body as well. </t>
  </si>
  <si>
    <t xml:space="preserve">Since April 1997, last amended in October 2024; 
Since December 1992, last amended in October 2024 </t>
  </si>
  <si>
    <t>https://www.legislation.gov.au/C2004A04465</t>
  </si>
  <si>
    <t xml:space="preserve">https://www.acma.gov.au/step-2-show-your-product-complies
</t>
  </si>
  <si>
    <t>https://www.eess.gov.au/responsible-supplier/responsible-supplier-declarations/</t>
  </si>
  <si>
    <t>Product screening and testing requirements</t>
  </si>
  <si>
    <t>Information Security Manual 2023</t>
  </si>
  <si>
    <t>No explicit product screening and testing requirements are found. But the Australian Cyber Security Centre (ACSC) produces the Information Security Manual (ISM). The purpose of the ISM is to outline a cyber security framework that an organisation can apply, using their risk management framework, to protect their systems and data from cyber threats. The ISM is intended for Chief Information Security Officers, Chief Information Officers, cyber security professionals and information technology managers.</t>
  </si>
  <si>
    <t xml:space="preserve">Since March 2023
</t>
  </si>
  <si>
    <t>https://www.cyber.gov.au/sites/default/files/2023-03/Information%20Security%20Manual%20-%20%28March%202023%29.pdf</t>
  </si>
  <si>
    <t>Deviation from international encryption standards (ISO, IEC, ITU, FIPS, AES, TDES, and ECC)</t>
  </si>
  <si>
    <t>Intelligence Services Act 2001; 
Australian Signals Directorate Cryptographic Evaluation</t>
  </si>
  <si>
    <t>Under the Intelligence Services Act 2001, Australian Signals Directorate (ASD) conducts Cryptographic Evaluation. This evaluation regime was implemented in July 2019. Products interacting with Australian government systems and critical security environments, including the handling of classified data must use ASD Approved Cryptographic Algorithms and Protocols, in line with international standards.
ASD conducts "a combination of open source and in-house tests to ensure the correct implementation of cryptographic algorithms and protocols as well as assessing the quality of the surrounding cryptographic architecture." ASD Approved Cryptographic Algorithms are mostly internationally recognized or approved by National Institute of Standards and Technology. Such algorithms fall into three categories: asymmetric/public key algorithms, hashing algorithms, and symmetric encryption algorithms. 
The approved asymmetric/public key algorithms are: Diffie-Hellman (DH) for agreeing on encryption session keys, Digital Signature Algorithm (DSA) for digital signatures, Elliptic Curve Diffie-Hellman (ECDH) for key exchange, Elliptic Curve Digital Signature Algorithm (ECDSA) for digital signatures, and Rivest-Shamir-Adleman (RSA) for digital signatures and passing encryption session keys or similar keys.
The approved hashing algorithm is Secure Hashing Algorithm 2 (SHA-2) (i.e. SHA-224, SHA-256, SHA-384 and SHA-512).
The approved symmetric encryption algorithms are Advanced Encryption Standard (AES) using key lengths of 128, 192 and 256 bits.</t>
  </si>
  <si>
    <t>Since October 2001, last amended in September 2024</t>
  </si>
  <si>
    <t>https://www.legislation.gov.au/C2004A00928</t>
  </si>
  <si>
    <t xml:space="preserve">https://www.cyber.gov.au/acsc/view-all-content/guidance/asd-approved-cryptographic-algorithms
</t>
  </si>
  <si>
    <t>https://www.cyber.gov.au/acsc/view-all-content/epl-products</t>
  </si>
  <si>
    <t>Foreign equity limits in e-commerce sector</t>
  </si>
  <si>
    <t>Corporations Act 2001;
The Australian Guidelines for Electronic Commerce 2006</t>
  </si>
  <si>
    <t>Australia does not have specific laws or regulations pertaining to foreign equity limits in the e-commerce sector.</t>
  </si>
  <si>
    <t>Since June 2001, last amended in October 2024; 
Since 2006</t>
  </si>
  <si>
    <t>https://treasury.gov.au/sites/default/files/2019-03/australian_guidelines_for_electronic_commerce.pdf</t>
  </si>
  <si>
    <t>Online purchases and delivery limitations
Exception: Not score limitations on online purchases and delivery applied specifically to products related to consumer protection, notably restrictions on alcoholic beverages, tobacco, and pharmaceuticals.</t>
  </si>
  <si>
    <t>The Australian Guidelines for Electronic Commerce 2006</t>
  </si>
  <si>
    <t>Australia does not have requirements on online purchases and the requirements on the delivery of products bought online.</t>
  </si>
  <si>
    <t>Since 2006;
Last review in November 2024</t>
  </si>
  <si>
    <t xml:space="preserve">Licensing scheme for e-commerce providers (B2B and B2C)
Exception: Licenses pertiaining to other aspects of e-commerce businesses, such as license to operate online payment services and delivery are not captured. </t>
  </si>
  <si>
    <t>Corporations Act 2001; 
The Australian Guidelines for Electronic Commerce 2006</t>
  </si>
  <si>
    <t>Australia does not have dedicated regulations or license requirements for the e-commerce sector. Setting up a business in e-commerce follows the general Corporations Act 2001.</t>
  </si>
  <si>
    <t xml:space="preserve">Since June 2001, last amended in October 2024 
</t>
  </si>
  <si>
    <t xml:space="preserve">https://www.legislation.gov.au/C2004A00818
</t>
  </si>
  <si>
    <t xml:space="preserve">Restrictions on online payment 
</t>
  </si>
  <si>
    <t>Anti-Money Laundering and Counter-Terrorism Financing Act 2006</t>
  </si>
  <si>
    <t>There is no restriction mandating a local bank account</t>
  </si>
  <si>
    <t>Since December 2006, last amended in October 2024</t>
  </si>
  <si>
    <t>https://www.legislation.gov.au/C2006A00169</t>
  </si>
  <si>
    <t>There is no mandate of currency used for international payments</t>
  </si>
  <si>
    <t>Payment Systems (Regulation) Act 1998</t>
  </si>
  <si>
    <t>There is no deviation for payment security that deviate from international standards</t>
  </si>
  <si>
    <t>Since June 1998, last amended in October 2020</t>
  </si>
  <si>
    <t>https://www.legislation.gov.au/C2004A00318</t>
  </si>
  <si>
    <t xml:space="preserve">Banking Act 1959
</t>
  </si>
  <si>
    <t>A purchased payment facility (PPF), a facility under which a holder of stored value makes payments to another person on behalf of the user of the facility, is regulated by the Banking Act 1959, if classified as a banking business under the Act. If so, the business entity must be an authorized deposit-taking institution (ADI) or authorised or exempted from the requirement to be an ADI before it can be the holder of the stored value. As of August 2023, PayPal Australia Pty Limited and TransferWise Australia Pty Ltd are the only providers of PPF which are also ADIs. Foreign PPFs, if classified as bank business, are granted an ADI licence subject to a condition specifically restricting the acceptance of retail deposits by their Australian branches. This is because depositors with foreign ADIs do not have the same protections under the Banking Act as depositors with Australian ADIs.  However, foreign ADIs do not have to maintain capital in Australia, as long as foreign bank applicants satisfy Australian Prudential Regulation Authority (APRA) by ensuring adequate supervision in their home country and they must have received consent from their home supervisor for establishing a banking operation in Australia.</t>
  </si>
  <si>
    <t>Since April 1959, last amended in October 2024</t>
  </si>
  <si>
    <t xml:space="preserve">https://www.legislation.gov.au/Details/C2021C00088
</t>
  </si>
  <si>
    <t xml:space="preserve">https://www.apra.gov.au/licensing-guidelines-for-authorised-deposit-taking-institutions#:~:text=A%20purchased%20payment%20facility%20(PPF,the%20Reserve%20Bank%20of%20Australia.
</t>
  </si>
  <si>
    <t>https://www.apra.gov.au/sites/default/files/information-paper-adi-licensing-restricted-adi-framework-20180504.pdf</t>
  </si>
  <si>
    <t>Electronic Transactions Act 1999;
Anti-Money Laundering and Counter-Terrorism Financing Act 2006 (AML/CTF Act)</t>
  </si>
  <si>
    <t>There is no ceiling on maximum payment amounts. Anti-Money Laundering and Counter-Terrorism Financing Act 2006 requires  providers to report transactions of $10,000 or more in a single transaction or over a series of transactions, which could be seen as suspicious. (Sections 41 (Reports of suspicious matters) and 43 (Reports of threshold transactions) of the AML/CTF Act).</t>
  </si>
  <si>
    <t xml:space="preserve">Since December 1999, last amended in 2011;
Since June 2021, last amended in October 2024 </t>
  </si>
  <si>
    <t>https://www.legislation.gov.au/C2004A00553</t>
  </si>
  <si>
    <t>https://www.legislation.gov.au/C2006A00169/latest/text</t>
  </si>
  <si>
    <t>Competition and Consumer Act 2010;
Anti-Money Laundering and Counter-Terrorism Financing Act 2006</t>
  </si>
  <si>
    <t>There are no requirements mandating the use of specific intermediaries for online payments.</t>
  </si>
  <si>
    <t xml:space="preserve">Since August 1974, last amended in October 2024;
Since December 2006, last amended in October 2024
</t>
  </si>
  <si>
    <t>Electronic Transactions Act 1999; 
The Australian Guidelines for Electronic Commerce 2006</t>
  </si>
  <si>
    <t>As per the Electronic Transactions Act 1999, special requirements for payment are not observed.</t>
  </si>
  <si>
    <t>Since December 1999, last amended in 2011</t>
  </si>
  <si>
    <t xml:space="preserve">https://www.legislation.gov.au/Details/C2011C00445
</t>
  </si>
  <si>
    <t>Low De Minimis</t>
  </si>
  <si>
    <t>A New Tax System (Australian Business Number) Act 1999</t>
  </si>
  <si>
    <t>Under Australia's de minimis rule, goods valued at AUD 1,000 (640 USD) or less are exempt from customs duties and certain border taxes. However, since July 1, 2018, Goods and Services Tax (GST) applies to low-value goods, services, and digital products, collected at the point of sale by overseas sellers or platforms to promote fairness for domestic retailers.</t>
  </si>
  <si>
    <t xml:space="preserve">Since July 1999, last amended in October 2024
</t>
  </si>
  <si>
    <t>https://www.legislation.gov.au/C2004A00467</t>
  </si>
  <si>
    <t>Domain name requirements</t>
  </si>
  <si>
    <t>Guidelines on the Interpretation of Policy Rules for Open 2LDs 2012</t>
  </si>
  <si>
    <t>In Australia, it is not possible to register directly under an ".au" domain, and therefore it is required to have a registration under the open second level domains such as ".com.au" or ".org.au."  A company that wants to register for the second level domain needs to be a registered Australian company or a foreign company licensed to trade in Australia. For certain second level domains such as "id.au", the registrants must be an Australian citizen or resident. The domain name policies were approved in 2012.</t>
  </si>
  <si>
    <t>Since December 2012</t>
  </si>
  <si>
    <t xml:space="preserve">http://www.auda.org.au/policies/index-of-published-policies/2012/2012-05/
</t>
  </si>
  <si>
    <t>https://business.gov.au/online/business-website/register-a-business-website</t>
  </si>
  <si>
    <t>Local presence requirements for online service providers</t>
  </si>
  <si>
    <t>Corporations Act 2001</t>
  </si>
  <si>
    <t xml:space="preserve">If an entity satisfies the definition of ‘foreign company’ in section 9 of the Corporations Act 2001 – that is, generally, a company registered outside Australia – it must be registered with Australian Securities and Investments Commission (ASIC) to carry on business in Australia. Foreign companies must maintain a registered office in Australia that is open every business day from at least 10 am to 12 pm and 2 pm to 4 pm unless notify of alternative registered office hours and a representative must be present at the registered office whenever it is open. </t>
  </si>
  <si>
    <t xml:space="preserve">Since June 2001, last amended in October 2024 </t>
  </si>
  <si>
    <t>Lack of legal framework for online consumer protection</t>
  </si>
  <si>
    <t xml:space="preserve">Competition and Consumer Act 2010; 
Electronic Transactions Act 1999 
</t>
  </si>
  <si>
    <t xml:space="preserve">The Competition and Consumer Act 2010 applies to both brick and mortar and online businesses. It provides a set of guarantees for all Australian consumers when they purchase certain goods or services from physical and online Australian retailers. Electronic signatures are valid under the Electronic Transactions Act 1999 (Section 10).
</t>
  </si>
  <si>
    <t xml:space="preserve">Since August 1974, last amended in October 2024; 
Since December 1999, last amended in 2011
</t>
  </si>
  <si>
    <t xml:space="preserve">https://www.legislation.gov.au/C2004A00109
</t>
  </si>
  <si>
    <t>https://www.legislation.gov.au/Details/C2005C00484</t>
  </si>
  <si>
    <t>https://consumer.gov.au/australian-consumer-law/legislation</t>
  </si>
  <si>
    <t>Not in the United Nations Convention of Electronic Communications</t>
  </si>
  <si>
    <t>Lack of signature of the UN Convention on Electronic Communications</t>
  </si>
  <si>
    <t>Australia did not sign the United Nations Convention on the Use of Electronic Communications in International Contracts, however,  the legislation also includes substantive provisions of the United Nations Convention on the Use of Electronic Communications in International Contracts.</t>
  </si>
  <si>
    <t>Since 2005</t>
  </si>
  <si>
    <t>https://uncitral.un.org/en/texts/ecommerce/conventions/electronic_communications/status</t>
  </si>
  <si>
    <t>Not in the UNCITRAL Model Law on Electronic Commerce</t>
  </si>
  <si>
    <t>UNCITRAL Model Law on Electronic Commerce</t>
  </si>
  <si>
    <t xml:space="preserve">Australia adopted the UNCITRAL Model Law on Electronic Commerce in 2011. </t>
  </si>
  <si>
    <t>Since 2011</t>
  </si>
  <si>
    <t>https://uncitral.un.org/en/texts/ecommerce/modellaw/electronic_commerce/status</t>
  </si>
  <si>
    <t>Not in the UNCITRAL Model Law on Electronic Signatures</t>
  </si>
  <si>
    <t>Lack of adoption of the UNCITRAL Model Law on Electronic Signatures</t>
  </si>
  <si>
    <t>Australia has not notified its adoption of the UNCITRAL Model Law on Electronic Signatures to the UNCITRAL Secretariat.</t>
  </si>
  <si>
    <t>Since 2001</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</si>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</sst>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b/>
      <sz val="48"/>
      <color rgb="FF000000"/>
      <name val="Arial"/>
      <family val="2"/>
    </font>
    <font>
      <u/>
      <sz val="12"/>
      <color theme="10"/>
      <name val="Calibri"/>
      <family val="2"/>
      <scheme val="minor"/>
    </font>
    <font>
      <u/>
      <sz val="9"/>
      <color rgb="FF000000"/>
      <name val="Arial"/>
      <family val="2"/>
    </font>
    <font>
      <b/>
      <sz val="48"/>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0" fontId="2" fillId="0" borderId="0"/>
  </cellStyleXfs>
  <cellXfs count="98">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3" fillId="2" borderId="3" xfId="0" applyFont="1" applyFill="1" applyBorder="1" applyAlignment="1">
      <alignment horizontal="left" vertical="center"/>
    </xf>
    <xf numFmtId="3"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4" fontId="4" fillId="4" borderId="1" xfId="0" applyNumberFormat="1" applyFont="1" applyFill="1" applyBorder="1" applyAlignment="1">
      <alignment horizontal="left" vertical="top" wrapText="1"/>
    </xf>
    <xf numFmtId="0" fontId="7" fillId="4" borderId="1" xfId="1" applyFont="1" applyFill="1" applyBorder="1" applyAlignment="1">
      <alignment horizontal="left" vertical="top" wrapText="1"/>
    </xf>
    <xf numFmtId="0" fontId="4" fillId="5" borderId="1" xfId="0"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7" fillId="5" borderId="1" xfId="1" applyFont="1" applyFill="1" applyBorder="1" applyAlignment="1">
      <alignment horizontal="left" vertical="top" wrapText="1"/>
    </xf>
    <xf numFmtId="3" fontId="4" fillId="5"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7" fillId="6" borderId="1"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7" fillId="7" borderId="1" xfId="1" applyFont="1" applyFill="1" applyBorder="1" applyAlignment="1">
      <alignment horizontal="left" vertical="top" wrapText="1"/>
    </xf>
    <xf numFmtId="0" fontId="7" fillId="7" borderId="0" xfId="1" applyFont="1" applyFill="1" applyAlignment="1">
      <alignment horizontal="left" vertical="top" wrapText="1"/>
    </xf>
    <xf numFmtId="2" fontId="4" fillId="7" borderId="1" xfId="0" applyNumberFormat="1" applyFont="1" applyFill="1" applyBorder="1" applyAlignment="1">
      <alignment horizontal="left" vertical="top" wrapText="1"/>
    </xf>
    <xf numFmtId="0" fontId="7" fillId="7" borderId="1" xfId="0" applyFont="1" applyFill="1" applyBorder="1" applyAlignment="1">
      <alignment horizontal="left" vertical="top" wrapText="1"/>
    </xf>
    <xf numFmtId="3" fontId="4" fillId="8"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4" fontId="4" fillId="8" borderId="1" xfId="0" applyNumberFormat="1" applyFont="1" applyFill="1" applyBorder="1" applyAlignment="1">
      <alignment horizontal="left" vertical="top" wrapText="1"/>
    </xf>
    <xf numFmtId="0" fontId="7" fillId="8" borderId="1" xfId="1" applyFont="1" applyFill="1" applyBorder="1" applyAlignment="1">
      <alignment horizontal="left" vertical="top" wrapText="1"/>
    </xf>
    <xf numFmtId="3" fontId="4" fillId="9"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4" fontId="4" fillId="9" borderId="1" xfId="0" applyNumberFormat="1" applyFont="1" applyFill="1" applyBorder="1" applyAlignment="1">
      <alignment horizontal="left" vertical="top" wrapText="1"/>
    </xf>
    <xf numFmtId="0" fontId="7" fillId="9" borderId="1" xfId="1" applyFont="1" applyFill="1" applyBorder="1" applyAlignment="1">
      <alignment horizontal="left" vertical="top" wrapText="1"/>
    </xf>
    <xf numFmtId="3" fontId="4" fillId="10"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4" fontId="4" fillId="10" borderId="1" xfId="0" applyNumberFormat="1" applyFont="1" applyFill="1" applyBorder="1" applyAlignment="1">
      <alignment horizontal="left" vertical="top" wrapText="1"/>
    </xf>
    <xf numFmtId="0" fontId="7" fillId="10" borderId="1" xfId="1" applyFont="1" applyFill="1" applyBorder="1" applyAlignment="1">
      <alignment horizontal="left" vertical="top" wrapText="1"/>
    </xf>
    <xf numFmtId="0" fontId="7" fillId="6" borderId="0" xfId="1" applyFont="1" applyFill="1" applyAlignment="1">
      <alignment vertical="top" wrapText="1"/>
    </xf>
    <xf numFmtId="0" fontId="4" fillId="6" borderId="0" xfId="0" applyFont="1" applyFill="1" applyAlignment="1">
      <alignment vertical="top" wrapText="1"/>
    </xf>
    <xf numFmtId="0" fontId="7" fillId="6" borderId="0" xfId="1" applyFont="1" applyFill="1" applyAlignment="1">
      <alignment horizontal="left" vertical="top" wrapText="1"/>
    </xf>
    <xf numFmtId="0" fontId="7" fillId="4" borderId="0" xfId="1" applyFont="1" applyFill="1" applyAlignment="1">
      <alignment horizontal="left" vertical="top" wrapText="1"/>
    </xf>
    <xf numFmtId="2" fontId="4" fillId="5" borderId="1" xfId="0" applyNumberFormat="1" applyFont="1" applyFill="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wrapText="1"/>
    </xf>
    <xf numFmtId="164" fontId="8" fillId="11" borderId="10" xfId="0" applyNumberFormat="1" applyFont="1" applyFill="1" applyBorder="1" applyAlignment="1">
      <alignment horizontal="left"/>
    </xf>
    <xf numFmtId="164" fontId="8" fillId="11" borderId="10" xfId="0" applyNumberFormat="1" applyFont="1" applyFill="1" applyBorder="1"/>
    <xf numFmtId="0" fontId="4" fillId="0" borderId="0" xfId="0" applyFont="1"/>
    <xf numFmtId="164" fontId="5" fillId="0" borderId="0" xfId="0" applyNumberFormat="1" applyFont="1" applyAlignment="1">
      <alignment horizontal="center"/>
    </xf>
    <xf numFmtId="0" fontId="9" fillId="0" borderId="0" xfId="0" applyFont="1"/>
    <xf numFmtId="164" fontId="8" fillId="0" borderId="0" xfId="0" applyNumberFormat="1" applyFont="1" applyAlignment="1">
      <alignment horizontal="center"/>
    </xf>
    <xf numFmtId="2" fontId="4" fillId="3" borderId="4"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2" fontId="4" fillId="3" borderId="10" xfId="0" applyNumberFormat="1" applyFont="1" applyFill="1" applyBorder="1" applyAlignment="1">
      <alignment horizontal="left" vertical="top" wrapText="1"/>
    </xf>
    <xf numFmtId="4" fontId="4" fillId="4" borderId="10" xfId="0" applyNumberFormat="1" applyFont="1" applyFill="1" applyBorder="1" applyAlignment="1">
      <alignment horizontal="left" vertical="top" wrapText="1"/>
    </xf>
    <xf numFmtId="4" fontId="4" fillId="6" borderId="10" xfId="0" applyNumberFormat="1" applyFont="1" applyFill="1" applyBorder="1" applyAlignment="1">
      <alignment horizontal="left" vertical="top" wrapText="1"/>
    </xf>
    <xf numFmtId="4" fontId="4" fillId="7" borderId="10" xfId="0" applyNumberFormat="1" applyFont="1" applyFill="1" applyBorder="1" applyAlignment="1">
      <alignment horizontal="left" vertical="top" wrapText="1"/>
    </xf>
    <xf numFmtId="4" fontId="4" fillId="10" borderId="10" xfId="0" applyNumberFormat="1" applyFont="1" applyFill="1" applyBorder="1" applyAlignment="1">
      <alignment horizontal="left" vertical="top" wrapText="1"/>
    </xf>
    <xf numFmtId="4" fontId="4" fillId="5" borderId="10" xfId="0" applyNumberFormat="1" applyFont="1" applyFill="1" applyBorder="1" applyAlignment="1">
      <alignment horizontal="left" vertical="top" wrapText="1"/>
    </xf>
    <xf numFmtId="0" fontId="1" fillId="2" borderId="10" xfId="2" applyFont="1" applyFill="1" applyBorder="1" applyAlignment="1">
      <alignment horizontal="left" vertical="top" wrapText="1"/>
    </xf>
    <xf numFmtId="0" fontId="4" fillId="5" borderId="10" xfId="0" applyFont="1" applyFill="1" applyBorder="1" applyAlignment="1">
      <alignment horizontal="left" vertical="top" wrapText="1"/>
    </xf>
    <xf numFmtId="0" fontId="4" fillId="6" borderId="10" xfId="0" applyFont="1" applyFill="1" applyBorder="1" applyAlignment="1">
      <alignment horizontal="left" vertical="top" wrapText="1"/>
    </xf>
    <xf numFmtId="3" fontId="4" fillId="6" borderId="10" xfId="0" applyNumberFormat="1" applyFont="1" applyFill="1" applyBorder="1" applyAlignment="1">
      <alignment horizontal="left" vertical="top" wrapText="1"/>
    </xf>
    <xf numFmtId="2" fontId="4" fillId="7" borderId="10" xfId="0" applyNumberFormat="1" applyFont="1" applyFill="1" applyBorder="1" applyAlignment="1">
      <alignment horizontal="left" vertical="top" wrapText="1"/>
    </xf>
    <xf numFmtId="4" fontId="4" fillId="8" borderId="10" xfId="0" applyNumberFormat="1" applyFont="1" applyFill="1" applyBorder="1" applyAlignment="1">
      <alignment horizontal="left" vertical="top" wrapText="1"/>
    </xf>
    <xf numFmtId="0" fontId="4" fillId="8" borderId="10" xfId="0" applyFont="1" applyFill="1" applyBorder="1" applyAlignment="1">
      <alignment horizontal="left" vertical="top" wrapText="1"/>
    </xf>
    <xf numFmtId="4" fontId="4" fillId="9" borderId="10" xfId="0" applyNumberFormat="1" applyFont="1" applyFill="1" applyBorder="1" applyAlignment="1">
      <alignment horizontal="left" vertical="top" wrapText="1"/>
    </xf>
    <xf numFmtId="0" fontId="4" fillId="9" borderId="10" xfId="0" applyFont="1" applyFill="1" applyBorder="1" applyAlignment="1">
      <alignment horizontal="left" vertical="top" wrapText="1"/>
    </xf>
    <xf numFmtId="3" fontId="4" fillId="4" borderId="10" xfId="0" applyNumberFormat="1" applyFont="1" applyFill="1" applyBorder="1" applyAlignment="1">
      <alignment horizontal="left" vertical="top" wrapText="1"/>
    </xf>
    <xf numFmtId="2" fontId="4" fillId="5" borderId="10" xfId="0" applyNumberFormat="1"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11" xfId="0" applyFont="1" applyFill="1" applyBorder="1" applyAlignment="1">
      <alignment horizontal="left" vertical="top" wrapText="1"/>
    </xf>
    <xf numFmtId="2" fontId="4" fillId="3" borderId="12" xfId="0" applyNumberFormat="1" applyFont="1" applyFill="1" applyBorder="1" applyAlignment="1">
      <alignment horizontal="left" vertical="top" wrapText="1"/>
    </xf>
    <xf numFmtId="164" fontId="5" fillId="6" borderId="4" xfId="0" applyNumberFormat="1" applyFont="1" applyFill="1" applyBorder="1" applyAlignment="1">
      <alignment horizontal="center" vertical="center" wrapText="1"/>
    </xf>
    <xf numFmtId="164" fontId="5" fillId="6" borderId="9" xfId="0" applyNumberFormat="1" applyFont="1" applyFill="1" applyBorder="1" applyAlignment="1">
      <alignment horizontal="center" vertical="center" wrapText="1"/>
    </xf>
    <xf numFmtId="164" fontId="5" fillId="6" borderId="6" xfId="0" applyNumberFormat="1" applyFont="1" applyFill="1" applyBorder="1" applyAlignment="1">
      <alignment horizontal="center" vertical="center" wrapText="1"/>
    </xf>
    <xf numFmtId="164" fontId="5" fillId="4" borderId="4" xfId="0" applyNumberFormat="1" applyFont="1" applyFill="1" applyBorder="1" applyAlignment="1">
      <alignment horizontal="center" vertical="center" wrapText="1"/>
    </xf>
    <xf numFmtId="164" fontId="5" fillId="4" borderId="9" xfId="0" applyNumberFormat="1" applyFont="1" applyFill="1" applyBorder="1" applyAlignment="1">
      <alignment horizontal="center" vertical="center" wrapText="1"/>
    </xf>
    <xf numFmtId="164" fontId="5" fillId="4" borderId="6" xfId="0" applyNumberFormat="1" applyFont="1" applyFill="1" applyBorder="1" applyAlignment="1">
      <alignment horizontal="center" vertical="center" wrapText="1"/>
    </xf>
    <xf numFmtId="164" fontId="5" fillId="5" borderId="4" xfId="0" applyNumberFormat="1" applyFont="1" applyFill="1" applyBorder="1" applyAlignment="1">
      <alignment horizontal="center" vertical="center" wrapText="1"/>
    </xf>
    <xf numFmtId="164" fontId="5" fillId="11" borderId="10" xfId="0" applyNumberFormat="1" applyFont="1" applyFill="1" applyBorder="1" applyAlignment="1">
      <alignment horizontal="center" vertical="center" wrapText="1"/>
    </xf>
    <xf numFmtId="164" fontId="5" fillId="5" borderId="9" xfId="0" applyNumberFormat="1" applyFont="1" applyFill="1" applyBorder="1" applyAlignment="1">
      <alignment horizontal="center" vertical="center" wrapText="1"/>
    </xf>
    <xf numFmtId="164" fontId="5" fillId="5" borderId="6" xfId="0" applyNumberFormat="1" applyFont="1" applyFill="1" applyBorder="1" applyAlignment="1">
      <alignment horizontal="center" vertical="center" wrapText="1"/>
    </xf>
    <xf numFmtId="164" fontId="5" fillId="7" borderId="4" xfId="0" applyNumberFormat="1" applyFont="1" applyFill="1" applyBorder="1" applyAlignment="1">
      <alignment horizontal="center" vertical="center" wrapText="1"/>
    </xf>
    <xf numFmtId="164" fontId="5" fillId="7" borderId="9" xfId="0" applyNumberFormat="1" applyFont="1" applyFill="1" applyBorder="1" applyAlignment="1">
      <alignment horizontal="center" vertical="center" wrapText="1"/>
    </xf>
    <xf numFmtId="164" fontId="5" fillId="7" borderId="6" xfId="0" applyNumberFormat="1" applyFont="1" applyFill="1" applyBorder="1" applyAlignment="1">
      <alignment horizontal="center" vertical="center" wrapText="1"/>
    </xf>
    <xf numFmtId="164" fontId="5" fillId="8" borderId="4" xfId="0" applyNumberFormat="1" applyFont="1" applyFill="1" applyBorder="1" applyAlignment="1">
      <alignment horizontal="center" vertical="center" wrapText="1"/>
    </xf>
    <xf numFmtId="164" fontId="5" fillId="8" borderId="9" xfId="0" applyNumberFormat="1" applyFont="1" applyFill="1" applyBorder="1" applyAlignment="1">
      <alignment horizontal="center" vertical="center" wrapText="1"/>
    </xf>
    <xf numFmtId="164" fontId="5" fillId="8" borderId="6" xfId="0" applyNumberFormat="1" applyFont="1" applyFill="1" applyBorder="1" applyAlignment="1">
      <alignment horizontal="center" vertical="center" wrapText="1"/>
    </xf>
    <xf numFmtId="164" fontId="5" fillId="9" borderId="4" xfId="0" applyNumberFormat="1" applyFont="1" applyFill="1" applyBorder="1" applyAlignment="1">
      <alignment horizontal="center" vertical="center" wrapText="1"/>
    </xf>
    <xf numFmtId="164" fontId="5" fillId="9" borderId="9" xfId="0" applyNumberFormat="1" applyFont="1" applyFill="1" applyBorder="1" applyAlignment="1">
      <alignment horizontal="center" vertical="center" wrapText="1"/>
    </xf>
    <xf numFmtId="164" fontId="5" fillId="9" borderId="6" xfId="0" applyNumberFormat="1" applyFont="1" applyFill="1" applyBorder="1" applyAlignment="1">
      <alignment horizontal="center" vertical="center" wrapText="1"/>
    </xf>
    <xf numFmtId="164" fontId="5" fillId="10" borderId="4" xfId="0" applyNumberFormat="1" applyFont="1" applyFill="1" applyBorder="1" applyAlignment="1">
      <alignment horizontal="center" vertical="center" wrapText="1"/>
    </xf>
    <xf numFmtId="164" fontId="5" fillId="10" borderId="9" xfId="0" applyNumberFormat="1" applyFont="1" applyFill="1" applyBorder="1" applyAlignment="1">
      <alignment horizontal="center" vertical="center" wrapText="1"/>
    </xf>
    <xf numFmtId="164" fontId="5" fillId="10" borderId="6" xfId="0" applyNumberFormat="1"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164" fontId="5" fillId="3" borderId="7" xfId="0" applyNumberFormat="1" applyFont="1" applyFill="1" applyBorder="1" applyAlignment="1">
      <alignment horizontal="center" vertical="center" wrapText="1"/>
    </xf>
    <xf numFmtId="164" fontId="5" fillId="3" borderId="8" xfId="0" applyNumberFormat="1" applyFont="1" applyFill="1" applyBorder="1" applyAlignment="1">
      <alignment horizontal="center" vertical="center" wrapText="1"/>
    </xf>
  </cellXfs>
  <cellStyles count="3">
    <cellStyle name="Hyperlink" xfId="1" builtinId="8"/>
    <cellStyle name="Normal" xfId="0" builtinId="0"/>
    <cellStyle name="Normal 2 2" xfId="2" xr:uid="{69F3B090-E00A-4E03-9DE5-C26DF7AB42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niaa.gov.au/indigenous-affairs/economic-development/indigenous-procurement-policy-ipp" TargetMode="External"/><Relationship Id="rId21" Type="http://schemas.openxmlformats.org/officeDocument/2006/relationships/hyperlink" Target="http://www.legislation.gov.au/C2013A00069" TargetMode="External"/><Relationship Id="rId42" Type="http://schemas.openxmlformats.org/officeDocument/2006/relationships/hyperlink" Target="https://www.legislation.gov.au/C2004A00109" TargetMode="External"/><Relationship Id="rId47" Type="http://schemas.openxmlformats.org/officeDocument/2006/relationships/hyperlink" Target="https://www.legislation.gov.au/F2014L01699" TargetMode="External"/><Relationship Id="rId63" Type="http://schemas.openxmlformats.org/officeDocument/2006/relationships/hyperlink" Target="https://www.legislation.gov.au/C2021A00076" TargetMode="External"/><Relationship Id="rId68" Type="http://schemas.openxmlformats.org/officeDocument/2006/relationships/hyperlink" Target="https://www.legislation.gov.au/F1996B03651" TargetMode="External"/><Relationship Id="rId84" Type="http://schemas.openxmlformats.org/officeDocument/2006/relationships/hyperlink" Target="https://www.legislation.gov.au/Details/C2005C00484" TargetMode="External"/><Relationship Id="rId16" Type="http://schemas.openxmlformats.org/officeDocument/2006/relationships/hyperlink" Target="https://docs.wto.org/dol2fe/Pages/SS/directdoc.aspx?filename=q:/WT/MIN15/25.pdf&amp;Open=True" TargetMode="External"/><Relationship Id="rId11" Type="http://schemas.openxmlformats.org/officeDocument/2006/relationships/hyperlink" Target="https://uncitral.un.org/en/texts/ecommerce/modellaw/electronic_signatures/status" TargetMode="External"/><Relationship Id="rId32" Type="http://schemas.openxmlformats.org/officeDocument/2006/relationships/hyperlink" Target="https://www.legislation.gov.au/C2018A00029" TargetMode="External"/><Relationship Id="rId37" Type="http://schemas.openxmlformats.org/officeDocument/2006/relationships/hyperlink" Target="https://www.legislation.gov.au/C1968A00063" TargetMode="External"/><Relationship Id="rId53" Type="http://schemas.openxmlformats.org/officeDocument/2006/relationships/hyperlink" Target="https://www.ag.gov.au/rights-and-protections/consultations/apec-cross-border-privacy-rules-australias-participation" TargetMode="External"/><Relationship Id="rId58" Type="http://schemas.openxmlformats.org/officeDocument/2006/relationships/hyperlink" Target="https://www.oaic.gov.au/privacy/guidance-and-advice/privacy-management-framework-enabling-compliance-and-encouraging-good-practice/" TargetMode="External"/><Relationship Id="rId74" Type="http://schemas.openxmlformats.org/officeDocument/2006/relationships/hyperlink" Target="https://www.standards.org.au/documents/nominating-organisation-guide" TargetMode="External"/><Relationship Id="rId79" Type="http://schemas.openxmlformats.org/officeDocument/2006/relationships/hyperlink" Target="https://treasury.gov.au/sites/default/files/2019-03/australian_guidelines_for_electronic_commerce.pdf" TargetMode="External"/><Relationship Id="rId5" Type="http://schemas.openxmlformats.org/officeDocument/2006/relationships/hyperlink" Target="https://wipolex.wipo.int/en/treaties/ShowResults?search_what=C&amp;treaty_id=20" TargetMode="External"/><Relationship Id="rId19" Type="http://schemas.openxmlformats.org/officeDocument/2006/relationships/hyperlink" Target="https://www.legislation.gov.au/F2024L00627" TargetMode="External"/><Relationship Id="rId14" Type="http://schemas.openxmlformats.org/officeDocument/2006/relationships/hyperlink" Target="https://www.legislation.gov.au/F2016L01907/latest/text" TargetMode="External"/><Relationship Id="rId22" Type="http://schemas.openxmlformats.org/officeDocument/2006/relationships/hyperlink" Target="https://www.industry.gov.au/regulations-and-standards/australian-industry-participation" TargetMode="External"/><Relationship Id="rId27" Type="http://schemas.openxmlformats.org/officeDocument/2006/relationships/hyperlink" Target="https://www.dfat.gov.au/trade/organisations/wto/wto-agreement-on-government-procurement" TargetMode="External"/><Relationship Id="rId30" Type="http://schemas.openxmlformats.org/officeDocument/2006/relationships/hyperlink" Target="https://www.legislation.gov.au/C2004A04401/latest/text" TargetMode="External"/><Relationship Id="rId35" Type="http://schemas.openxmlformats.org/officeDocument/2006/relationships/hyperlink" Target="https://asic.gov.au/for-business/registering-a-company/steps-to-register-a-company/foreign-companies/%0a" TargetMode="External"/><Relationship Id="rId43" Type="http://schemas.openxmlformats.org/officeDocument/2006/relationships/hyperlink" Target="https://www.legislation.gov.au/C2004A02562" TargetMode="External"/><Relationship Id="rId48" Type="http://schemas.openxmlformats.org/officeDocument/2006/relationships/hyperlink" Target="https://www.legislation.gov.au/C2004A05145" TargetMode="External"/><Relationship Id="rId56" Type="http://schemas.openxmlformats.org/officeDocument/2006/relationships/hyperlink" Target="https://www.oaic.gov.au/privacy/notifiable-data-breaches" TargetMode="External"/><Relationship Id="rId64" Type="http://schemas.openxmlformats.org/officeDocument/2006/relationships/hyperlink" Target="https://www.legislation.gov.au/C2021A00076" TargetMode="External"/><Relationship Id="rId69" Type="http://schemas.openxmlformats.org/officeDocument/2006/relationships/hyperlink" Target="https://www.abf.gov.au/importing-exporting-and-manufacturing/prohibited-goods/list-of-items" TargetMode="External"/><Relationship Id="rId77" Type="http://schemas.openxmlformats.org/officeDocument/2006/relationships/hyperlink" Target="https://www.legislation.gov.au/C2004A00928" TargetMode="External"/><Relationship Id="rId8" Type="http://schemas.openxmlformats.org/officeDocument/2006/relationships/hyperlink" Target="http://classic.austlii.edu.au/au/legis/cth/num_reg/tr2021202100289339/" TargetMode="External"/><Relationship Id="rId51" Type="http://schemas.openxmlformats.org/officeDocument/2006/relationships/hyperlink" Target="https://www.legislation.gov.au/C2012A00063" TargetMode="External"/><Relationship Id="rId72" Type="http://schemas.openxmlformats.org/officeDocument/2006/relationships/hyperlink" Target="https://www.legislation.gov.au/F1996B03403" TargetMode="External"/><Relationship Id="rId80" Type="http://schemas.openxmlformats.org/officeDocument/2006/relationships/hyperlink" Target="https://www.legislation.gov.au/C2004A00818%0a" TargetMode="External"/><Relationship Id="rId85" Type="http://schemas.openxmlformats.org/officeDocument/2006/relationships/hyperlink" Target="https://www.legislation.gov.au/C2004A00109%0a" TargetMode="External"/><Relationship Id="rId3" Type="http://schemas.openxmlformats.org/officeDocument/2006/relationships/hyperlink" Target="https://www.wipo.int/pct/en/pct_contracting_states.html" TargetMode="External"/><Relationship Id="rId12" Type="http://schemas.openxmlformats.org/officeDocument/2006/relationships/hyperlink" Target="https://www.legislation.gov.au/C2004A04014" TargetMode="External"/><Relationship Id="rId17" Type="http://schemas.openxmlformats.org/officeDocument/2006/relationships/hyperlink" Target="https://www.wto.org/english/res_e/statis_e/itip_e.htm" TargetMode="External"/><Relationship Id="rId25" Type="http://schemas.openxmlformats.org/officeDocument/2006/relationships/hyperlink" Target="https://www.niaa.gov.au/resource-centre/indigenous-procurement-policy" TargetMode="External"/><Relationship Id="rId33" Type="http://schemas.openxmlformats.org/officeDocument/2006/relationships/hyperlink" Target="https://www.abc.net.au/news/2024-06-03/northern-minerals-jim-chalmers-yuxiao-fund-investors/103927762" TargetMode="External"/><Relationship Id="rId38" Type="http://schemas.openxmlformats.org/officeDocument/2006/relationships/hyperlink" Target="https://www.legislation.gov.au/C1968A00063" TargetMode="External"/><Relationship Id="rId46" Type="http://schemas.openxmlformats.org/officeDocument/2006/relationships/hyperlink" Target="https://www.legislation.gov.au/C2004A05145" TargetMode="External"/><Relationship Id="rId59" Type="http://schemas.openxmlformats.org/officeDocument/2006/relationships/hyperlink" Target="https://www.legislation.gov.au/C2022A00011/latest/text" TargetMode="External"/><Relationship Id="rId67" Type="http://schemas.openxmlformats.org/officeDocument/2006/relationships/hyperlink" Target="https://ablis.business.gov.au/" TargetMode="External"/><Relationship Id="rId20" Type="http://schemas.openxmlformats.org/officeDocument/2006/relationships/hyperlink" Target="https://www.legislation.gov.au/C2004A05145" TargetMode="External"/><Relationship Id="rId41" Type="http://schemas.openxmlformats.org/officeDocument/2006/relationships/hyperlink" Target="https://www.legislation.gov.au/C2004A00818" TargetMode="External"/><Relationship Id="rId54" Type="http://schemas.openxmlformats.org/officeDocument/2006/relationships/hyperlink" Target="https://www.legislation.gov.au/C2004A03712" TargetMode="External"/><Relationship Id="rId62" Type="http://schemas.openxmlformats.org/officeDocument/2006/relationships/hyperlink" Target="https://www.legislation.gov.au/F2017L00399" TargetMode="External"/><Relationship Id="rId70" Type="http://schemas.openxmlformats.org/officeDocument/2006/relationships/hyperlink" Target="https://www.legislation.gov.au/C2004A04401/latest/text" TargetMode="External"/><Relationship Id="rId75" Type="http://schemas.openxmlformats.org/officeDocument/2006/relationships/hyperlink" Target="https://www.legislation.gov.au/C2004A04465" TargetMode="External"/><Relationship Id="rId83" Type="http://schemas.openxmlformats.org/officeDocument/2006/relationships/hyperlink" Target="https://www.legislation.gov.au/C2004A00818" TargetMode="External"/><Relationship Id="rId88" Type="http://schemas.openxmlformats.org/officeDocument/2006/relationships/printerSettings" Target="../printerSettings/printerSettings1.bin"/><Relationship Id="rId1" Type="http://schemas.openxmlformats.org/officeDocument/2006/relationships/hyperlink" Target="https://www.legislation.gov.au/F2024L00627/latest/text" TargetMode="External"/><Relationship Id="rId6" Type="http://schemas.openxmlformats.org/officeDocument/2006/relationships/hyperlink" Target="https://www.accc.gov.au/media-release/accc-to-continue-telstras-fixed-line-services-regulation" TargetMode="External"/><Relationship Id="rId15" Type="http://schemas.openxmlformats.org/officeDocument/2006/relationships/hyperlink" Target="https://www.wto.org/english/tratop_e/inftec_e/itscheds_e.htm" TargetMode="External"/><Relationship Id="rId23" Type="http://schemas.openxmlformats.org/officeDocument/2006/relationships/hyperlink" Target="https://ministers.treasury.gov.au/ministers/julie-collins-2022/media-releases/new-procurement-rules-deliver-more-small-business" TargetMode="External"/><Relationship Id="rId28" Type="http://schemas.openxmlformats.org/officeDocument/2006/relationships/hyperlink" Target="https://e-gpa.wto.org/en/Annex/Details?Agreement=GPA113&amp;Party=Australia&amp;AnnexNo=5&amp;ContentCulture=en&amp;AdvancedSearch=False" TargetMode="External"/><Relationship Id="rId36" Type="http://schemas.openxmlformats.org/officeDocument/2006/relationships/hyperlink" Target="https://www.legislation.gov.au/C2004A04014" TargetMode="External"/><Relationship Id="rId49" Type="http://schemas.openxmlformats.org/officeDocument/2006/relationships/hyperlink" Target="https://www.legislation.gov.au/C2004A05145" TargetMode="External"/><Relationship Id="rId57" Type="http://schemas.openxmlformats.org/officeDocument/2006/relationships/hyperlink" Target="https://www.legislation.gov.au/C2004A02124/latest/text" TargetMode="External"/><Relationship Id="rId10" Type="http://schemas.openxmlformats.org/officeDocument/2006/relationships/hyperlink" Target="https://uncitral.un.org/en/texts/ecommerce/modellaw/electronic_commerce/status" TargetMode="External"/><Relationship Id="rId31" Type="http://schemas.openxmlformats.org/officeDocument/2006/relationships/hyperlink" Target="https://www.legislation.gov.au/C2004A01402" TargetMode="External"/><Relationship Id="rId44" Type="http://schemas.openxmlformats.org/officeDocument/2006/relationships/hyperlink" Target="https://www.accc.gov.au/regulated-infrastructure/communications/fixed-line-services/fixed-line-services-fad-inquiry-2018%0a" TargetMode="External"/><Relationship Id="rId52" Type="http://schemas.openxmlformats.org/officeDocument/2006/relationships/hyperlink" Target="https://www.legislation.gov.au/C2012A00063" TargetMode="External"/><Relationship Id="rId60" Type="http://schemas.openxmlformats.org/officeDocument/2006/relationships/hyperlink" Target="https://www.datacommissioner.gov.au/law/dat-act" TargetMode="External"/><Relationship Id="rId65" Type="http://schemas.openxmlformats.org/officeDocument/2006/relationships/hyperlink" Target="https://www.legislation.gov.au/C1968A00063" TargetMode="External"/><Relationship Id="rId73" Type="http://schemas.openxmlformats.org/officeDocument/2006/relationships/hyperlink" Target="https://www.legislation.gov.au/C2012A00153" TargetMode="External"/><Relationship Id="rId78" Type="http://schemas.openxmlformats.org/officeDocument/2006/relationships/hyperlink" Target="https://www.cyber.gov.au/acsc/view-all-content/epl-products" TargetMode="External"/><Relationship Id="rId81" Type="http://schemas.openxmlformats.org/officeDocument/2006/relationships/hyperlink" Target="https://www.legislation.gov.au/Details/C2021C00088%0a" TargetMode="External"/><Relationship Id="rId86" Type="http://schemas.openxmlformats.org/officeDocument/2006/relationships/hyperlink" Target="http://wits.worldbank.org/WITS/" TargetMode="External"/><Relationship Id="rId4" Type="http://schemas.openxmlformats.org/officeDocument/2006/relationships/hyperlink" Target="https://wipolex.wipo.int/en/treaties/ShowResults?search_what=C&amp;treaty_id=16" TargetMode="External"/><Relationship Id="rId9" Type="http://schemas.openxmlformats.org/officeDocument/2006/relationships/hyperlink" Target="https://uncitral.un.org/en/texts/ecommerce/conventions/electronic_communications/status" TargetMode="External"/><Relationship Id="rId13" Type="http://schemas.openxmlformats.org/officeDocument/2006/relationships/hyperlink" Target="https://www.legislation.gov.au/C2012A00132/latest/versions" TargetMode="External"/><Relationship Id="rId18" Type="http://schemas.openxmlformats.org/officeDocument/2006/relationships/hyperlink" Target="https://www.legislation.gov.au/F2014L00911/latest/text%0a" TargetMode="External"/><Relationship Id="rId39" Type="http://schemas.openxmlformats.org/officeDocument/2006/relationships/hyperlink" Target="https://www.legislation.gov.au/C2004A03712" TargetMode="External"/><Relationship Id="rId34" Type="http://schemas.openxmlformats.org/officeDocument/2006/relationships/hyperlink" Target="https://www.legislation.gov.au/C2004A00818" TargetMode="External"/><Relationship Id="rId50" Type="http://schemas.openxmlformats.org/officeDocument/2006/relationships/hyperlink" Target="https://www.ag.gov.au/rights-and-protections/consultations/apec-cross-border-privacy-rules-australias-participation" TargetMode="External"/><Relationship Id="rId55" Type="http://schemas.openxmlformats.org/officeDocument/2006/relationships/hyperlink" Target="https://www.legislation.gov.au/C2004A03712" TargetMode="External"/><Relationship Id="rId76" Type="http://schemas.openxmlformats.org/officeDocument/2006/relationships/hyperlink" Target="https://www.cyber.gov.au/sites/default/files/2023-03/Information%20Security%20Manual%20-%20%28March%202023%29.pdf" TargetMode="External"/><Relationship Id="rId7" Type="http://schemas.openxmlformats.org/officeDocument/2006/relationships/hyperlink" Target="https://www.legislation.gov.au/C2004A05145" TargetMode="External"/><Relationship Id="rId71" Type="http://schemas.openxmlformats.org/officeDocument/2006/relationships/hyperlink" Target="https://www.legislation.gov.au/F2024L01024" TargetMode="External"/><Relationship Id="rId2" Type="http://schemas.openxmlformats.org/officeDocument/2006/relationships/hyperlink" Target="http://www.ipaustralia.gov.au/" TargetMode="External"/><Relationship Id="rId29" Type="http://schemas.openxmlformats.org/officeDocument/2006/relationships/hyperlink" Target="https://www.legislation.gov.au/C2004A01402" TargetMode="External"/><Relationship Id="rId24" Type="http://schemas.openxmlformats.org/officeDocument/2006/relationships/hyperlink" Target="https://www.legislation.gov.au/F2024L00627" TargetMode="External"/><Relationship Id="rId40" Type="http://schemas.openxmlformats.org/officeDocument/2006/relationships/hyperlink" Target="https://www.legislation.gov.au/C2004A00818" TargetMode="External"/><Relationship Id="rId45" Type="http://schemas.openxmlformats.org/officeDocument/2006/relationships/hyperlink" Target="https://www.legislation.gov.au/C2004A05145" TargetMode="External"/><Relationship Id="rId66" Type="http://schemas.openxmlformats.org/officeDocument/2006/relationships/hyperlink" Target="https://www.legislation.gov.au/C2004A04401%0a" TargetMode="External"/><Relationship Id="rId87" Type="http://schemas.openxmlformats.org/officeDocument/2006/relationships/hyperlink" Target="http://wits.worldbank.org/WITS/" TargetMode="External"/><Relationship Id="rId61" Type="http://schemas.openxmlformats.org/officeDocument/2006/relationships/hyperlink" Target="https://www.legislation.gov.au/C2021A00076" TargetMode="External"/><Relationship Id="rId82" Type="http://schemas.openxmlformats.org/officeDocument/2006/relationships/hyperlink" Target="https://www.legislation.gov.au/C2004A004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5D35-43CE-4688-B5B4-E4EE56491D8A}">
  <sheetPr codeName="Sheet4">
    <tabColor rgb="FFB4C6E7"/>
    <pageSetUpPr autoPageBreaks="0"/>
  </sheetPr>
  <dimension ref="A1:L84"/>
  <sheetViews>
    <sheetView tabSelected="1" zoomScale="70" zoomScaleNormal="70" workbookViewId="0">
      <selection activeCell="C52" sqref="C52"/>
    </sheetView>
  </sheetViews>
  <sheetFormatPr defaultColWidth="12.59765625" defaultRowHeight="60.6" x14ac:dyDescent="1"/>
  <cols>
    <col min="1" max="1" width="7.59765625" style="49" customWidth="1"/>
    <col min="2" max="2" width="6.5" style="49" customWidth="1"/>
    <col min="3" max="3" width="9.09765625" style="49" customWidth="1"/>
    <col min="4" max="4" width="8.59765625" style="49" customWidth="1"/>
    <col min="5" max="5" width="23" style="49" customWidth="1"/>
    <col min="6" max="6" width="88.09765625" style="49" customWidth="1"/>
    <col min="7" max="7" width="17.5" style="49" customWidth="1"/>
    <col min="8" max="8" width="27.09765625" style="49" customWidth="1"/>
    <col min="9" max="9" width="27.5" style="49" customWidth="1"/>
    <col min="10" max="10" width="23.09765625" style="49" customWidth="1"/>
    <col min="11" max="11" width="79.69921875" style="49" customWidth="1"/>
    <col min="12" max="12" width="59.19921875" style="50" customWidth="1"/>
  </cols>
  <sheetData>
    <row r="1" spans="1:12" ht="78.75" customHeight="1" x14ac:dyDescent="0.4">
      <c r="A1" s="1" t="s">
        <v>0</v>
      </c>
      <c r="B1" s="2" t="s">
        <v>1</v>
      </c>
      <c r="C1" s="59" t="s">
        <v>2</v>
      </c>
      <c r="D1" s="3" t="s">
        <v>3</v>
      </c>
      <c r="E1" s="1" t="s">
        <v>4</v>
      </c>
      <c r="F1" s="4" t="s">
        <v>5</v>
      </c>
      <c r="G1" s="4" t="s">
        <v>6</v>
      </c>
      <c r="H1" s="4" t="s">
        <v>7</v>
      </c>
      <c r="I1" s="4" t="s">
        <v>8</v>
      </c>
      <c r="J1" s="4" t="s">
        <v>9</v>
      </c>
      <c r="K1" s="5" t="s">
        <v>10</v>
      </c>
      <c r="L1" s="6" t="s">
        <v>11</v>
      </c>
    </row>
    <row r="2" spans="1:12" ht="60" customHeight="1" x14ac:dyDescent="0.3">
      <c r="A2" s="51" t="s">
        <v>12</v>
      </c>
      <c r="B2" s="70">
        <v>1.1000000000000001</v>
      </c>
      <c r="C2" s="53" t="s">
        <v>13</v>
      </c>
      <c r="D2" s="51">
        <f>IF(F2&lt;10,0.1*F2,IF(F2&gt;=10,1,"error"))</f>
        <v>4.0000000000000001E-3</v>
      </c>
      <c r="E2" s="51" t="s">
        <v>14</v>
      </c>
      <c r="F2" s="51">
        <v>0.04</v>
      </c>
      <c r="G2" s="51" t="s">
        <v>15</v>
      </c>
      <c r="H2" s="51" t="s">
        <v>16</v>
      </c>
      <c r="I2" s="51"/>
      <c r="J2" s="51"/>
      <c r="K2" s="51"/>
      <c r="L2" s="95">
        <v>0.1</v>
      </c>
    </row>
    <row r="3" spans="1:12" ht="120" customHeight="1" x14ac:dyDescent="0.3">
      <c r="A3" s="52" t="s">
        <v>12</v>
      </c>
      <c r="B3" s="71">
        <v>1.2</v>
      </c>
      <c r="C3" s="53" t="s">
        <v>13</v>
      </c>
      <c r="D3" s="72">
        <f>IF(F3&lt;=30,1,IF((F3&gt;=70),0,IF(AND(F3&gt;30,F3&lt;70),(-0.025*F3+1.75),"error")))</f>
        <v>0</v>
      </c>
      <c r="E3" s="52" t="s">
        <v>17</v>
      </c>
      <c r="F3" s="52">
        <v>91.768480809576701</v>
      </c>
      <c r="G3" s="52" t="s">
        <v>15</v>
      </c>
      <c r="H3" s="52" t="s">
        <v>16</v>
      </c>
      <c r="I3" s="52"/>
      <c r="J3" s="52"/>
      <c r="K3" s="52"/>
      <c r="L3" s="96"/>
    </row>
    <row r="4" spans="1:12" ht="61.35" customHeight="1" x14ac:dyDescent="0.3">
      <c r="A4" s="51" t="s">
        <v>12</v>
      </c>
      <c r="B4" s="70">
        <v>1.3</v>
      </c>
      <c r="C4" s="53" t="s">
        <v>18</v>
      </c>
      <c r="D4" s="51">
        <v>0</v>
      </c>
      <c r="E4" s="51" t="s">
        <v>19</v>
      </c>
      <c r="F4" s="51" t="s">
        <v>20</v>
      </c>
      <c r="G4" s="51" t="s">
        <v>21</v>
      </c>
      <c r="H4" s="51" t="s">
        <v>22</v>
      </c>
      <c r="I4" s="51" t="s">
        <v>23</v>
      </c>
      <c r="J4" s="51"/>
      <c r="K4" s="51"/>
      <c r="L4" s="96"/>
    </row>
    <row r="5" spans="1:12" ht="198.6" customHeight="1" x14ac:dyDescent="0.3">
      <c r="A5" s="52" t="s">
        <v>12</v>
      </c>
      <c r="B5" s="71">
        <v>1.4</v>
      </c>
      <c r="C5" s="53" t="s">
        <v>18</v>
      </c>
      <c r="D5" s="72">
        <v>0.5</v>
      </c>
      <c r="E5" s="52" t="s">
        <v>24</v>
      </c>
      <c r="F5" s="52" t="s">
        <v>25</v>
      </c>
      <c r="G5" s="52" t="s">
        <v>26</v>
      </c>
      <c r="H5" s="52" t="s">
        <v>27</v>
      </c>
      <c r="I5" s="52" t="s">
        <v>28</v>
      </c>
      <c r="J5" s="52" t="s">
        <v>29</v>
      </c>
      <c r="K5" s="52"/>
      <c r="L5" s="97"/>
    </row>
    <row r="6" spans="1:12" ht="328.35" customHeight="1" x14ac:dyDescent="0.3">
      <c r="A6" s="7">
        <v>2</v>
      </c>
      <c r="B6" s="8">
        <v>2.1</v>
      </c>
      <c r="C6" s="54" t="s">
        <v>30</v>
      </c>
      <c r="D6" s="9">
        <v>0.5</v>
      </c>
      <c r="E6" s="8" t="s">
        <v>31</v>
      </c>
      <c r="F6" s="8" t="s">
        <v>32</v>
      </c>
      <c r="G6" s="8" t="s">
        <v>33</v>
      </c>
      <c r="H6" s="10" t="s">
        <v>34</v>
      </c>
      <c r="I6" s="10" t="s">
        <v>35</v>
      </c>
      <c r="J6" s="10" t="s">
        <v>36</v>
      </c>
      <c r="K6" s="8" t="s">
        <v>37</v>
      </c>
      <c r="L6" s="76">
        <v>0.4</v>
      </c>
    </row>
    <row r="7" spans="1:12" ht="60.6" customHeight="1" x14ac:dyDescent="0.3">
      <c r="A7" s="7">
        <v>2</v>
      </c>
      <c r="B7" s="8">
        <v>2.2000000000000002</v>
      </c>
      <c r="C7" s="54" t="s">
        <v>38</v>
      </c>
      <c r="D7" s="9">
        <v>0</v>
      </c>
      <c r="E7" s="8" t="s">
        <v>39</v>
      </c>
      <c r="F7" s="8" t="s">
        <v>40</v>
      </c>
      <c r="G7" s="8" t="s">
        <v>41</v>
      </c>
      <c r="H7" s="10" t="s">
        <v>42</v>
      </c>
      <c r="I7" s="8"/>
      <c r="J7" s="8"/>
      <c r="K7" s="8"/>
      <c r="L7" s="77"/>
    </row>
    <row r="8" spans="1:12" ht="147" customHeight="1" x14ac:dyDescent="0.3">
      <c r="A8" s="7">
        <v>2</v>
      </c>
      <c r="B8" s="8">
        <v>2.2999999999999998</v>
      </c>
      <c r="C8" s="54" t="s">
        <v>43</v>
      </c>
      <c r="D8" s="9">
        <v>0.5</v>
      </c>
      <c r="E8" s="8" t="s">
        <v>44</v>
      </c>
      <c r="F8" s="8" t="s">
        <v>45</v>
      </c>
      <c r="G8" s="8" t="s">
        <v>46</v>
      </c>
      <c r="H8" s="10" t="s">
        <v>47</v>
      </c>
      <c r="I8" s="10" t="s">
        <v>48</v>
      </c>
      <c r="J8" s="10" t="s">
        <v>49</v>
      </c>
      <c r="K8" s="8"/>
      <c r="L8" s="77"/>
    </row>
    <row r="9" spans="1:12" ht="141.9" customHeight="1" x14ac:dyDescent="0.3">
      <c r="A9" s="7">
        <v>2</v>
      </c>
      <c r="B9" s="8">
        <v>2.2999999999999998</v>
      </c>
      <c r="C9" s="54" t="s">
        <v>43</v>
      </c>
      <c r="D9" s="9">
        <v>0.5</v>
      </c>
      <c r="E9" s="8" t="s">
        <v>50</v>
      </c>
      <c r="F9" s="8" t="s">
        <v>51</v>
      </c>
      <c r="G9" s="8" t="s">
        <v>52</v>
      </c>
      <c r="H9" s="10" t="s">
        <v>35</v>
      </c>
      <c r="I9" s="8"/>
      <c r="J9" s="8"/>
      <c r="K9" s="8"/>
      <c r="L9" s="77"/>
    </row>
    <row r="10" spans="1:12" ht="217.35" customHeight="1" x14ac:dyDescent="0.3">
      <c r="A10" s="7">
        <v>2</v>
      </c>
      <c r="B10" s="8">
        <v>2.2999999999999998</v>
      </c>
      <c r="C10" s="54" t="s">
        <v>43</v>
      </c>
      <c r="D10" s="9">
        <v>0.5</v>
      </c>
      <c r="E10" s="8" t="s">
        <v>53</v>
      </c>
      <c r="F10" s="8" t="s">
        <v>54</v>
      </c>
      <c r="G10" s="8" t="s">
        <v>55</v>
      </c>
      <c r="H10" s="10" t="s">
        <v>56</v>
      </c>
      <c r="I10" s="10" t="s">
        <v>57</v>
      </c>
      <c r="J10" s="8"/>
      <c r="K10" s="8"/>
      <c r="L10" s="77"/>
    </row>
    <row r="11" spans="1:12" ht="228" customHeight="1" x14ac:dyDescent="0.3">
      <c r="A11" s="7">
        <v>2</v>
      </c>
      <c r="B11" s="8">
        <v>2.4</v>
      </c>
      <c r="C11" s="54" t="s">
        <v>58</v>
      </c>
      <c r="D11" s="9">
        <v>0</v>
      </c>
      <c r="E11" s="8" t="s">
        <v>59</v>
      </c>
      <c r="F11" s="8" t="s">
        <v>60</v>
      </c>
      <c r="G11" s="8" t="s">
        <v>61</v>
      </c>
      <c r="H11" s="10" t="s">
        <v>62</v>
      </c>
      <c r="I11" s="10" t="s">
        <v>63</v>
      </c>
      <c r="J11" s="8"/>
      <c r="K11" s="8"/>
      <c r="L11" s="78"/>
    </row>
    <row r="12" spans="1:12" ht="94.35" customHeight="1" x14ac:dyDescent="0.3">
      <c r="A12" s="11">
        <v>3</v>
      </c>
      <c r="B12" s="11">
        <v>3.1</v>
      </c>
      <c r="C12" s="58" t="s">
        <v>64</v>
      </c>
      <c r="D12" s="12">
        <v>0</v>
      </c>
      <c r="E12" s="11" t="s">
        <v>65</v>
      </c>
      <c r="F12" s="11" t="s">
        <v>66</v>
      </c>
      <c r="G12" s="11" t="s">
        <v>67</v>
      </c>
      <c r="H12" s="13" t="s">
        <v>68</v>
      </c>
      <c r="I12" s="11" t="s">
        <v>69</v>
      </c>
      <c r="J12" s="11"/>
      <c r="K12" s="11"/>
      <c r="L12" s="79">
        <v>0.57599999999999996</v>
      </c>
    </row>
    <row r="13" spans="1:12" ht="204" customHeight="1" x14ac:dyDescent="0.3">
      <c r="A13" s="11" t="s">
        <v>70</v>
      </c>
      <c r="B13" s="11">
        <v>3.2</v>
      </c>
      <c r="C13" s="60" t="s">
        <v>71</v>
      </c>
      <c r="D13" s="11">
        <v>0</v>
      </c>
      <c r="E13" s="11" t="s">
        <v>72</v>
      </c>
      <c r="F13" s="11" t="s">
        <v>73</v>
      </c>
      <c r="G13" s="11" t="s">
        <v>74</v>
      </c>
      <c r="H13" s="11" t="s">
        <v>69</v>
      </c>
      <c r="I13" s="11"/>
      <c r="J13" s="11"/>
      <c r="K13" s="11"/>
      <c r="L13" s="81"/>
    </row>
    <row r="14" spans="1:12" ht="125.4" customHeight="1" x14ac:dyDescent="0.3">
      <c r="A14" s="11" t="s">
        <v>70</v>
      </c>
      <c r="B14" s="11">
        <v>3.3</v>
      </c>
      <c r="C14" s="60" t="s">
        <v>75</v>
      </c>
      <c r="D14" s="11">
        <v>1</v>
      </c>
      <c r="E14" s="11" t="s">
        <v>72</v>
      </c>
      <c r="F14" s="11" t="s">
        <v>76</v>
      </c>
      <c r="G14" s="11" t="s">
        <v>74</v>
      </c>
      <c r="H14" s="11" t="s">
        <v>69</v>
      </c>
      <c r="I14" s="11"/>
      <c r="J14" s="11"/>
      <c r="K14" s="11"/>
      <c r="L14" s="81"/>
    </row>
    <row r="15" spans="1:12" ht="159.6" customHeight="1" x14ac:dyDescent="0.3">
      <c r="A15" s="11" t="s">
        <v>70</v>
      </c>
      <c r="B15" s="11">
        <v>3.4</v>
      </c>
      <c r="C15" s="60" t="s">
        <v>77</v>
      </c>
      <c r="D15" s="11">
        <v>0.25</v>
      </c>
      <c r="E15" s="11" t="s">
        <v>78</v>
      </c>
      <c r="F15" s="11" t="s">
        <v>79</v>
      </c>
      <c r="G15" s="11" t="s">
        <v>80</v>
      </c>
      <c r="H15" s="11" t="s">
        <v>81</v>
      </c>
      <c r="I15" s="11"/>
      <c r="J15" s="11"/>
      <c r="K15" s="11"/>
      <c r="L15" s="81"/>
    </row>
    <row r="16" spans="1:12" ht="344.1" customHeight="1" x14ac:dyDescent="0.3">
      <c r="A16" s="11" t="s">
        <v>70</v>
      </c>
      <c r="B16" s="11">
        <v>3.4</v>
      </c>
      <c r="C16" s="60" t="s">
        <v>77</v>
      </c>
      <c r="D16" s="11">
        <v>1</v>
      </c>
      <c r="E16" s="11" t="s">
        <v>82</v>
      </c>
      <c r="F16" s="11" t="s">
        <v>83</v>
      </c>
      <c r="G16" s="11" t="s">
        <v>84</v>
      </c>
      <c r="H16" s="11" t="s">
        <v>68</v>
      </c>
      <c r="I16" s="11" t="s">
        <v>37</v>
      </c>
      <c r="J16" s="11" t="s">
        <v>85</v>
      </c>
      <c r="K16" s="11"/>
      <c r="L16" s="81"/>
    </row>
    <row r="17" spans="1:12" ht="218.1" customHeight="1" x14ac:dyDescent="0.3">
      <c r="A17" s="14">
        <v>3</v>
      </c>
      <c r="B17" s="11">
        <v>3.5</v>
      </c>
      <c r="C17" s="58" t="s">
        <v>86</v>
      </c>
      <c r="D17" s="12">
        <v>1</v>
      </c>
      <c r="E17" s="11" t="s">
        <v>72</v>
      </c>
      <c r="F17" s="11" t="s">
        <v>87</v>
      </c>
      <c r="G17" s="11" t="s">
        <v>74</v>
      </c>
      <c r="H17" s="13" t="s">
        <v>88</v>
      </c>
      <c r="I17" s="13" t="s">
        <v>89</v>
      </c>
      <c r="J17" s="11"/>
      <c r="K17" s="13"/>
      <c r="L17" s="82"/>
    </row>
    <row r="18" spans="1:12" ht="138.9" customHeight="1" x14ac:dyDescent="0.3">
      <c r="A18" s="15" t="s">
        <v>90</v>
      </c>
      <c r="B18" s="15">
        <v>4.01</v>
      </c>
      <c r="C18" s="61" t="s">
        <v>91</v>
      </c>
      <c r="D18" s="15">
        <v>0</v>
      </c>
      <c r="E18" s="15" t="s">
        <v>92</v>
      </c>
      <c r="F18" s="15" t="s">
        <v>93</v>
      </c>
      <c r="G18" s="15" t="s">
        <v>94</v>
      </c>
      <c r="H18" s="15" t="s">
        <v>95</v>
      </c>
      <c r="I18" s="15"/>
      <c r="J18" s="15"/>
      <c r="K18" s="15"/>
      <c r="L18" s="73">
        <v>6.9000000000000006E-2</v>
      </c>
    </row>
    <row r="19" spans="1:12" ht="119.25" customHeight="1" x14ac:dyDescent="0.3">
      <c r="A19" s="16">
        <v>4</v>
      </c>
      <c r="B19" s="15">
        <v>4.2</v>
      </c>
      <c r="C19" s="55" t="s">
        <v>96</v>
      </c>
      <c r="D19" s="17">
        <v>0</v>
      </c>
      <c r="E19" s="15" t="s">
        <v>92</v>
      </c>
      <c r="F19" s="15" t="s">
        <v>97</v>
      </c>
      <c r="G19" s="15" t="s">
        <v>98</v>
      </c>
      <c r="H19" s="15" t="s">
        <v>95</v>
      </c>
      <c r="I19" s="18" t="s">
        <v>99</v>
      </c>
      <c r="J19" s="15"/>
      <c r="K19" s="15"/>
      <c r="L19" s="74"/>
    </row>
    <row r="20" spans="1:12" ht="101.1" customHeight="1" x14ac:dyDescent="0.3">
      <c r="A20" s="16">
        <v>4</v>
      </c>
      <c r="B20" s="15">
        <v>4.2</v>
      </c>
      <c r="C20" s="55" t="s">
        <v>96</v>
      </c>
      <c r="D20" s="17">
        <v>0</v>
      </c>
      <c r="E20" s="15" t="s">
        <v>92</v>
      </c>
      <c r="F20" s="15" t="s">
        <v>100</v>
      </c>
      <c r="G20" s="15" t="s">
        <v>94</v>
      </c>
      <c r="H20" s="18" t="s">
        <v>95</v>
      </c>
      <c r="I20" s="15"/>
      <c r="J20" s="15"/>
      <c r="K20" s="15"/>
      <c r="L20" s="74"/>
    </row>
    <row r="21" spans="1:12" ht="57" x14ac:dyDescent="0.3">
      <c r="A21" s="16">
        <v>4</v>
      </c>
      <c r="B21" s="15">
        <v>4.3</v>
      </c>
      <c r="C21" s="55" t="s">
        <v>101</v>
      </c>
      <c r="D21" s="17">
        <v>0</v>
      </c>
      <c r="E21" s="15" t="s">
        <v>102</v>
      </c>
      <c r="F21" s="15" t="s">
        <v>103</v>
      </c>
      <c r="G21" s="15" t="s">
        <v>104</v>
      </c>
      <c r="H21" s="18" t="s">
        <v>105</v>
      </c>
      <c r="I21" s="15"/>
      <c r="J21" s="15"/>
      <c r="K21" s="15"/>
      <c r="L21" s="74"/>
    </row>
    <row r="22" spans="1:12" ht="57.6" customHeight="1" x14ac:dyDescent="0.3">
      <c r="A22" s="16" t="s">
        <v>90</v>
      </c>
      <c r="B22" s="15">
        <v>4.4000000000000004</v>
      </c>
      <c r="C22" s="62" t="s">
        <v>106</v>
      </c>
      <c r="D22" s="16">
        <v>0</v>
      </c>
      <c r="E22" s="16" t="s">
        <v>107</v>
      </c>
      <c r="F22" s="16" t="s">
        <v>108</v>
      </c>
      <c r="G22" s="16" t="s">
        <v>109</v>
      </c>
      <c r="H22" s="16" t="s">
        <v>110</v>
      </c>
      <c r="I22" s="16"/>
      <c r="J22" s="16"/>
      <c r="K22" s="16"/>
      <c r="L22" s="74"/>
    </row>
    <row r="23" spans="1:12" ht="184.35" customHeight="1" x14ac:dyDescent="0.3">
      <c r="A23" s="16" t="s">
        <v>90</v>
      </c>
      <c r="B23" s="15">
        <v>4.5</v>
      </c>
      <c r="C23" s="62" t="s">
        <v>111</v>
      </c>
      <c r="D23" s="16">
        <v>0</v>
      </c>
      <c r="E23" s="16" t="s">
        <v>112</v>
      </c>
      <c r="F23" s="16" t="s">
        <v>113</v>
      </c>
      <c r="G23" s="16" t="s">
        <v>109</v>
      </c>
      <c r="H23" s="16" t="s">
        <v>110</v>
      </c>
      <c r="I23" s="16"/>
      <c r="J23" s="16"/>
      <c r="K23" s="16"/>
      <c r="L23" s="74"/>
    </row>
    <row r="24" spans="1:12" ht="57" x14ac:dyDescent="0.3">
      <c r="A24" s="16">
        <v>4</v>
      </c>
      <c r="B24" s="15">
        <v>4.5999999999999996</v>
      </c>
      <c r="C24" s="55" t="s">
        <v>101</v>
      </c>
      <c r="D24" s="17">
        <v>0</v>
      </c>
      <c r="E24" s="15" t="s">
        <v>114</v>
      </c>
      <c r="F24" s="15" t="s">
        <v>115</v>
      </c>
      <c r="G24" s="15" t="s">
        <v>116</v>
      </c>
      <c r="H24" s="18" t="s">
        <v>117</v>
      </c>
      <c r="I24" s="15"/>
      <c r="J24" s="15"/>
      <c r="K24" s="15"/>
      <c r="L24" s="74"/>
    </row>
    <row r="25" spans="1:12" ht="79.8" x14ac:dyDescent="0.3">
      <c r="A25" s="16">
        <v>4</v>
      </c>
      <c r="B25" s="15">
        <v>4.7</v>
      </c>
      <c r="C25" s="55" t="s">
        <v>118</v>
      </c>
      <c r="D25" s="17">
        <v>0</v>
      </c>
      <c r="E25" s="15" t="s">
        <v>119</v>
      </c>
      <c r="F25" s="15" t="s">
        <v>120</v>
      </c>
      <c r="G25" s="15" t="s">
        <v>116</v>
      </c>
      <c r="H25" s="18" t="s">
        <v>121</v>
      </c>
      <c r="I25" s="15"/>
      <c r="J25" s="15"/>
      <c r="K25" s="15"/>
      <c r="L25" s="74"/>
    </row>
    <row r="26" spans="1:12" ht="195.6" customHeight="1" x14ac:dyDescent="0.3">
      <c r="A26" s="16">
        <v>4</v>
      </c>
      <c r="B26" s="15">
        <v>4.8</v>
      </c>
      <c r="C26" s="55" t="s">
        <v>122</v>
      </c>
      <c r="D26" s="17">
        <v>0</v>
      </c>
      <c r="E26" s="15" t="s">
        <v>123</v>
      </c>
      <c r="F26" s="15" t="s">
        <v>124</v>
      </c>
      <c r="G26" s="15" t="s">
        <v>125</v>
      </c>
      <c r="H26" s="18" t="s">
        <v>88</v>
      </c>
      <c r="I26" s="18" t="s">
        <v>126</v>
      </c>
      <c r="J26" s="15"/>
      <c r="K26" s="15"/>
      <c r="L26" s="74"/>
    </row>
    <row r="27" spans="1:12" ht="227.4" customHeight="1" x14ac:dyDescent="0.3">
      <c r="A27" s="16">
        <v>4</v>
      </c>
      <c r="B27" s="15">
        <v>4.9000000000000004</v>
      </c>
      <c r="C27" s="55" t="s">
        <v>127</v>
      </c>
      <c r="D27" s="17">
        <v>0.5</v>
      </c>
      <c r="E27" s="15" t="s">
        <v>128</v>
      </c>
      <c r="F27" s="15" t="s">
        <v>129</v>
      </c>
      <c r="G27" s="15" t="s">
        <v>130</v>
      </c>
      <c r="H27" s="18" t="s">
        <v>88</v>
      </c>
      <c r="I27" s="18" t="s">
        <v>131</v>
      </c>
      <c r="J27" s="18" t="s">
        <v>132</v>
      </c>
      <c r="K27" s="15"/>
      <c r="L27" s="75"/>
    </row>
    <row r="28" spans="1:12" ht="204.9" customHeight="1" x14ac:dyDescent="0.3">
      <c r="A28" s="19">
        <v>5</v>
      </c>
      <c r="B28" s="20">
        <v>5.0999999999999996</v>
      </c>
      <c r="C28" s="56" t="s">
        <v>133</v>
      </c>
      <c r="D28" s="21">
        <v>0.5</v>
      </c>
      <c r="E28" s="20" t="s">
        <v>134</v>
      </c>
      <c r="F28" s="20" t="s">
        <v>135</v>
      </c>
      <c r="G28" s="20" t="s">
        <v>136</v>
      </c>
      <c r="H28" s="22" t="s">
        <v>36</v>
      </c>
      <c r="I28" s="22" t="s">
        <v>137</v>
      </c>
      <c r="J28" s="23" t="s">
        <v>138</v>
      </c>
      <c r="K28" s="20"/>
      <c r="L28" s="83">
        <v>0.45600000000000002</v>
      </c>
    </row>
    <row r="29" spans="1:12" ht="171.9" customHeight="1" x14ac:dyDescent="0.3">
      <c r="A29" s="19">
        <v>5</v>
      </c>
      <c r="B29" s="20">
        <v>5.2</v>
      </c>
      <c r="C29" s="56" t="s">
        <v>139</v>
      </c>
      <c r="D29" s="21">
        <v>0.8</v>
      </c>
      <c r="E29" s="20" t="s">
        <v>140</v>
      </c>
      <c r="F29" s="20" t="s">
        <v>141</v>
      </c>
      <c r="G29" s="20" t="s">
        <v>142</v>
      </c>
      <c r="H29" s="22" t="s">
        <v>36</v>
      </c>
      <c r="I29" s="20" t="s">
        <v>143</v>
      </c>
      <c r="J29" s="20"/>
      <c r="K29" s="20"/>
      <c r="L29" s="84"/>
    </row>
    <row r="30" spans="1:12" ht="79.8" x14ac:dyDescent="0.3">
      <c r="A30" s="19">
        <v>5</v>
      </c>
      <c r="B30" s="20">
        <v>5.3</v>
      </c>
      <c r="C30" s="56" t="s">
        <v>144</v>
      </c>
      <c r="D30" s="21">
        <v>1</v>
      </c>
      <c r="E30" s="20" t="s">
        <v>145</v>
      </c>
      <c r="F30" s="20" t="s">
        <v>146</v>
      </c>
      <c r="G30" s="20" t="s">
        <v>147</v>
      </c>
      <c r="H30" s="20" t="s">
        <v>148</v>
      </c>
      <c r="I30" s="20" t="s">
        <v>149</v>
      </c>
      <c r="J30" s="20"/>
      <c r="K30" s="20"/>
      <c r="L30" s="84"/>
    </row>
    <row r="31" spans="1:12" ht="91.2" x14ac:dyDescent="0.3">
      <c r="A31" s="20">
        <v>5</v>
      </c>
      <c r="B31" s="20">
        <v>5.4</v>
      </c>
      <c r="C31" s="63" t="s">
        <v>150</v>
      </c>
      <c r="D31" s="24">
        <v>0</v>
      </c>
      <c r="E31" s="20" t="s">
        <v>151</v>
      </c>
      <c r="F31" s="20" t="s">
        <v>152</v>
      </c>
      <c r="G31" s="20" t="s">
        <v>153</v>
      </c>
      <c r="H31" s="23" t="s">
        <v>36</v>
      </c>
      <c r="I31" s="22" t="s">
        <v>154</v>
      </c>
      <c r="J31" s="25" t="s">
        <v>155</v>
      </c>
      <c r="K31" s="25" t="s">
        <v>156</v>
      </c>
      <c r="L31" s="84"/>
    </row>
    <row r="32" spans="1:12" ht="89.1" customHeight="1" x14ac:dyDescent="0.3">
      <c r="A32" s="19">
        <v>5</v>
      </c>
      <c r="B32" s="20">
        <v>5.5</v>
      </c>
      <c r="C32" s="56" t="s">
        <v>157</v>
      </c>
      <c r="D32" s="21">
        <v>0</v>
      </c>
      <c r="E32" s="20" t="s">
        <v>158</v>
      </c>
      <c r="F32" s="20" t="s">
        <v>159</v>
      </c>
      <c r="G32" s="20" t="s">
        <v>160</v>
      </c>
      <c r="H32" s="22" t="s">
        <v>36</v>
      </c>
      <c r="I32" s="20" t="s">
        <v>161</v>
      </c>
      <c r="J32" s="22" t="s">
        <v>162</v>
      </c>
      <c r="K32" s="20"/>
      <c r="L32" s="84"/>
    </row>
    <row r="33" spans="1:12" ht="179.4" customHeight="1" x14ac:dyDescent="0.3">
      <c r="A33" s="19">
        <v>5</v>
      </c>
      <c r="B33" s="20">
        <v>5.5</v>
      </c>
      <c r="C33" s="56" t="s">
        <v>157</v>
      </c>
      <c r="D33" s="21">
        <v>0</v>
      </c>
      <c r="E33" s="20" t="s">
        <v>163</v>
      </c>
      <c r="F33" s="20" t="s">
        <v>164</v>
      </c>
      <c r="G33" s="20" t="s">
        <v>165</v>
      </c>
      <c r="H33" s="22" t="s">
        <v>36</v>
      </c>
      <c r="I33" s="20" t="s">
        <v>166</v>
      </c>
      <c r="J33" s="20" t="s">
        <v>167</v>
      </c>
      <c r="K33" s="20"/>
      <c r="L33" s="84"/>
    </row>
    <row r="34" spans="1:12" ht="57" x14ac:dyDescent="0.3">
      <c r="A34" s="19">
        <v>5</v>
      </c>
      <c r="B34" s="20">
        <v>5.6</v>
      </c>
      <c r="C34" s="56" t="s">
        <v>168</v>
      </c>
      <c r="D34" s="21">
        <v>0</v>
      </c>
      <c r="E34" s="20" t="s">
        <v>169</v>
      </c>
      <c r="F34" s="20" t="s">
        <v>170</v>
      </c>
      <c r="G34" s="20" t="s">
        <v>171</v>
      </c>
      <c r="H34" s="20" t="s">
        <v>172</v>
      </c>
      <c r="I34" s="20" t="s">
        <v>173</v>
      </c>
      <c r="J34" s="20" t="s">
        <v>174</v>
      </c>
      <c r="K34" s="20"/>
      <c r="L34" s="84"/>
    </row>
    <row r="35" spans="1:12" ht="86.1" customHeight="1" x14ac:dyDescent="0.3">
      <c r="A35" s="19">
        <v>5</v>
      </c>
      <c r="B35" s="20">
        <v>5.7</v>
      </c>
      <c r="C35" s="56" t="s">
        <v>175</v>
      </c>
      <c r="D35" s="21">
        <v>0</v>
      </c>
      <c r="E35" s="20" t="s">
        <v>176</v>
      </c>
      <c r="F35" s="20" t="s">
        <v>177</v>
      </c>
      <c r="G35" s="20" t="s">
        <v>178</v>
      </c>
      <c r="H35" s="20" t="s">
        <v>179</v>
      </c>
      <c r="I35" s="20"/>
      <c r="J35" s="20"/>
      <c r="K35" s="20"/>
      <c r="L35" s="85"/>
    </row>
    <row r="36" spans="1:12" ht="214.35" customHeight="1" x14ac:dyDescent="0.3">
      <c r="A36" s="26">
        <v>6</v>
      </c>
      <c r="B36" s="27">
        <v>6.1</v>
      </c>
      <c r="C36" s="64" t="s">
        <v>180</v>
      </c>
      <c r="D36" s="28">
        <v>0.5</v>
      </c>
      <c r="E36" s="27" t="s">
        <v>181</v>
      </c>
      <c r="F36" s="27" t="s">
        <v>182</v>
      </c>
      <c r="G36" s="27" t="s">
        <v>183</v>
      </c>
      <c r="H36" s="29" t="s">
        <v>184</v>
      </c>
      <c r="I36" s="29" t="s">
        <v>185</v>
      </c>
      <c r="J36" s="27"/>
      <c r="K36" s="27"/>
      <c r="L36" s="86">
        <v>0.36499999999999999</v>
      </c>
    </row>
    <row r="37" spans="1:12" ht="185.1" customHeight="1" x14ac:dyDescent="0.3">
      <c r="A37" s="26">
        <v>6</v>
      </c>
      <c r="B37" s="27">
        <v>6.2</v>
      </c>
      <c r="C37" s="64" t="s">
        <v>186</v>
      </c>
      <c r="D37" s="28">
        <v>0.5</v>
      </c>
      <c r="E37" s="27" t="s">
        <v>181</v>
      </c>
      <c r="F37" s="27" t="s">
        <v>187</v>
      </c>
      <c r="G37" s="27" t="s">
        <v>188</v>
      </c>
      <c r="H37" s="29" t="s">
        <v>184</v>
      </c>
      <c r="I37" s="29" t="s">
        <v>185</v>
      </c>
      <c r="J37" s="27"/>
      <c r="K37" s="27"/>
      <c r="L37" s="87"/>
    </row>
    <row r="38" spans="1:12" ht="70.349999999999994" customHeight="1" x14ac:dyDescent="0.3">
      <c r="A38" s="26">
        <v>6</v>
      </c>
      <c r="B38" s="27">
        <v>6.3</v>
      </c>
      <c r="C38" s="64" t="s">
        <v>189</v>
      </c>
      <c r="D38" s="28">
        <v>0</v>
      </c>
      <c r="E38" s="27" t="s">
        <v>190</v>
      </c>
      <c r="F38" s="27" t="s">
        <v>191</v>
      </c>
      <c r="G38" s="27" t="s">
        <v>192</v>
      </c>
      <c r="H38" s="29" t="s">
        <v>126</v>
      </c>
      <c r="I38" s="27"/>
      <c r="J38" s="27"/>
      <c r="K38" s="27"/>
      <c r="L38" s="87"/>
    </row>
    <row r="39" spans="1:12" ht="142.35" customHeight="1" x14ac:dyDescent="0.3">
      <c r="A39" s="27" t="s">
        <v>193</v>
      </c>
      <c r="B39" s="27">
        <v>6.4</v>
      </c>
      <c r="C39" s="65" t="s">
        <v>194</v>
      </c>
      <c r="D39" s="27">
        <v>1</v>
      </c>
      <c r="E39" s="27" t="s">
        <v>190</v>
      </c>
      <c r="F39" s="27" t="s">
        <v>195</v>
      </c>
      <c r="G39" s="27" t="s">
        <v>192</v>
      </c>
      <c r="H39" s="27" t="s">
        <v>196</v>
      </c>
      <c r="I39" s="27"/>
      <c r="J39" s="27"/>
      <c r="K39" s="27"/>
      <c r="L39" s="87"/>
    </row>
    <row r="40" spans="1:12" ht="409.5" customHeight="1" x14ac:dyDescent="0.3">
      <c r="A40" s="26">
        <v>6</v>
      </c>
      <c r="B40" s="27">
        <v>6.5</v>
      </c>
      <c r="C40" s="64" t="s">
        <v>197</v>
      </c>
      <c r="D40" s="28">
        <v>0</v>
      </c>
      <c r="E40" s="27" t="s">
        <v>198</v>
      </c>
      <c r="F40" s="27" t="s">
        <v>199</v>
      </c>
      <c r="G40" s="27" t="s">
        <v>200</v>
      </c>
      <c r="H40" s="27" t="s">
        <v>201</v>
      </c>
      <c r="I40" s="27"/>
      <c r="J40" s="27"/>
      <c r="K40" s="27"/>
      <c r="L40" s="88"/>
    </row>
    <row r="41" spans="1:12" ht="142.35" customHeight="1" x14ac:dyDescent="0.3">
      <c r="A41" s="30">
        <v>7</v>
      </c>
      <c r="B41" s="31">
        <v>7.1</v>
      </c>
      <c r="C41" s="66" t="s">
        <v>202</v>
      </c>
      <c r="D41" s="32">
        <v>0</v>
      </c>
      <c r="E41" s="31" t="s">
        <v>190</v>
      </c>
      <c r="F41" s="31" t="s">
        <v>203</v>
      </c>
      <c r="G41" s="31" t="s">
        <v>192</v>
      </c>
      <c r="H41" s="33" t="s">
        <v>126</v>
      </c>
      <c r="I41" s="33" t="s">
        <v>204</v>
      </c>
      <c r="J41" s="31"/>
      <c r="K41" s="31"/>
      <c r="L41" s="89">
        <v>0.46899999999999997</v>
      </c>
    </row>
    <row r="42" spans="1:12" ht="83.4" customHeight="1" x14ac:dyDescent="0.3">
      <c r="A42" s="31" t="s">
        <v>205</v>
      </c>
      <c r="B42" s="31">
        <v>7.2</v>
      </c>
      <c r="C42" s="67" t="s">
        <v>206</v>
      </c>
      <c r="D42" s="31">
        <v>1</v>
      </c>
      <c r="E42" s="31" t="s">
        <v>207</v>
      </c>
      <c r="F42" s="31" t="s">
        <v>208</v>
      </c>
      <c r="G42" s="31" t="s">
        <v>209</v>
      </c>
      <c r="H42" s="31" t="s">
        <v>210</v>
      </c>
      <c r="I42" s="31"/>
      <c r="J42" s="31"/>
      <c r="K42" s="31"/>
      <c r="L42" s="90"/>
    </row>
    <row r="43" spans="1:12" ht="230.1" customHeight="1" x14ac:dyDescent="0.3">
      <c r="A43" s="31" t="s">
        <v>205</v>
      </c>
      <c r="B43" s="31">
        <v>7.3</v>
      </c>
      <c r="C43" s="67" t="s">
        <v>211</v>
      </c>
      <c r="D43" s="31">
        <v>0</v>
      </c>
      <c r="E43" s="31" t="s">
        <v>212</v>
      </c>
      <c r="F43" s="31" t="s">
        <v>213</v>
      </c>
      <c r="G43" s="31" t="s">
        <v>214</v>
      </c>
      <c r="H43" s="31" t="s">
        <v>215</v>
      </c>
      <c r="I43" s="31"/>
      <c r="J43" s="31"/>
      <c r="K43" s="31"/>
      <c r="L43" s="90"/>
    </row>
    <row r="44" spans="1:12" ht="113.1" customHeight="1" x14ac:dyDescent="0.3">
      <c r="A44" s="31" t="s">
        <v>205</v>
      </c>
      <c r="B44" s="31">
        <v>7.4</v>
      </c>
      <c r="C44" s="67" t="s">
        <v>216</v>
      </c>
      <c r="D44" s="31">
        <v>1</v>
      </c>
      <c r="E44" s="31" t="s">
        <v>217</v>
      </c>
      <c r="F44" s="31" t="s">
        <v>218</v>
      </c>
      <c r="G44" s="31" t="s">
        <v>219</v>
      </c>
      <c r="H44" s="31" t="s">
        <v>220</v>
      </c>
      <c r="I44" s="31" t="s">
        <v>221</v>
      </c>
      <c r="J44" s="31"/>
      <c r="K44" s="31"/>
      <c r="L44" s="90"/>
    </row>
    <row r="45" spans="1:12" ht="409.5" customHeight="1" x14ac:dyDescent="0.3">
      <c r="A45" s="31" t="s">
        <v>205</v>
      </c>
      <c r="B45" s="31">
        <v>7.4</v>
      </c>
      <c r="C45" s="67" t="s">
        <v>216</v>
      </c>
      <c r="D45" s="31">
        <v>1</v>
      </c>
      <c r="E45" s="31" t="s">
        <v>222</v>
      </c>
      <c r="F45" s="31" t="s">
        <v>223</v>
      </c>
      <c r="G45" s="31" t="s">
        <v>224</v>
      </c>
      <c r="H45" s="31" t="s">
        <v>225</v>
      </c>
      <c r="I45" s="31"/>
      <c r="J45" s="31"/>
      <c r="K45" s="31"/>
      <c r="L45" s="90"/>
    </row>
    <row r="46" spans="1:12" ht="330.6" customHeight="1" x14ac:dyDescent="0.3">
      <c r="A46" s="31" t="s">
        <v>205</v>
      </c>
      <c r="B46" s="31">
        <v>7.4</v>
      </c>
      <c r="C46" s="67" t="s">
        <v>216</v>
      </c>
      <c r="D46" s="31">
        <v>1</v>
      </c>
      <c r="E46" s="31" t="s">
        <v>226</v>
      </c>
      <c r="F46" s="31" t="s">
        <v>227</v>
      </c>
      <c r="G46" s="31" t="s">
        <v>228</v>
      </c>
      <c r="H46" s="31" t="s">
        <v>229</v>
      </c>
      <c r="I46" s="31"/>
      <c r="J46" s="31"/>
      <c r="K46" s="31"/>
      <c r="L46" s="91"/>
    </row>
    <row r="47" spans="1:12" ht="145.35" customHeight="1" x14ac:dyDescent="0.3">
      <c r="A47" s="9">
        <v>8</v>
      </c>
      <c r="B47" s="8">
        <v>8.1</v>
      </c>
      <c r="C47" s="54" t="s">
        <v>230</v>
      </c>
      <c r="D47" s="9">
        <v>0</v>
      </c>
      <c r="E47" s="9" t="s">
        <v>231</v>
      </c>
      <c r="F47" s="9" t="s">
        <v>232</v>
      </c>
      <c r="G47" s="9" t="s">
        <v>233</v>
      </c>
      <c r="H47" s="9" t="s">
        <v>110</v>
      </c>
      <c r="I47" s="9" t="s">
        <v>234</v>
      </c>
      <c r="J47" s="9"/>
      <c r="K47" s="9"/>
      <c r="L47" s="76">
        <v>0.625</v>
      </c>
    </row>
    <row r="48" spans="1:12" ht="257.10000000000002" customHeight="1" x14ac:dyDescent="0.3">
      <c r="A48" s="9" t="s">
        <v>235</v>
      </c>
      <c r="B48" s="8">
        <v>8.1999999999999993</v>
      </c>
      <c r="C48" s="54" t="s">
        <v>236</v>
      </c>
      <c r="D48" s="9">
        <v>1</v>
      </c>
      <c r="E48" s="9" t="s">
        <v>237</v>
      </c>
      <c r="F48" s="9" t="s">
        <v>238</v>
      </c>
      <c r="G48" s="9" t="s">
        <v>239</v>
      </c>
      <c r="H48" s="9" t="s">
        <v>240</v>
      </c>
      <c r="I48" s="9" t="s">
        <v>241</v>
      </c>
      <c r="J48" s="9" t="s">
        <v>242</v>
      </c>
      <c r="K48" s="9"/>
      <c r="L48" s="77"/>
    </row>
    <row r="49" spans="1:12" ht="67.349999999999994" customHeight="1" x14ac:dyDescent="0.3">
      <c r="A49" s="7">
        <v>8</v>
      </c>
      <c r="B49" s="8">
        <v>8.3000000000000007</v>
      </c>
      <c r="C49" s="54" t="s">
        <v>243</v>
      </c>
      <c r="D49" s="9">
        <v>0.5</v>
      </c>
      <c r="E49" s="8" t="s">
        <v>244</v>
      </c>
      <c r="F49" s="8" t="s">
        <v>245</v>
      </c>
      <c r="G49" s="8" t="s">
        <v>246</v>
      </c>
      <c r="H49" s="10" t="s">
        <v>247</v>
      </c>
      <c r="I49" s="8" t="s">
        <v>248</v>
      </c>
      <c r="J49" s="8"/>
      <c r="K49" s="8"/>
      <c r="L49" s="77"/>
    </row>
    <row r="50" spans="1:12" ht="234.6" customHeight="1" x14ac:dyDescent="0.3">
      <c r="A50" s="7" t="s">
        <v>235</v>
      </c>
      <c r="B50" s="8">
        <v>8.4</v>
      </c>
      <c r="C50" s="68" t="s">
        <v>249</v>
      </c>
      <c r="D50" s="7">
        <v>1</v>
      </c>
      <c r="E50" s="7" t="s">
        <v>250</v>
      </c>
      <c r="F50" s="7" t="s">
        <v>251</v>
      </c>
      <c r="G50" s="7" t="s">
        <v>252</v>
      </c>
      <c r="H50" s="7" t="s">
        <v>253</v>
      </c>
      <c r="I50" s="7" t="s">
        <v>254</v>
      </c>
      <c r="J50" s="7"/>
      <c r="K50" s="7"/>
      <c r="L50" s="77"/>
    </row>
    <row r="51" spans="1:12" ht="292.35000000000002" customHeight="1" x14ac:dyDescent="0.3">
      <c r="A51" s="7" t="s">
        <v>235</v>
      </c>
      <c r="B51" s="8">
        <v>8.4</v>
      </c>
      <c r="C51" s="68" t="s">
        <v>249</v>
      </c>
      <c r="D51" s="7">
        <v>1</v>
      </c>
      <c r="E51" s="7" t="s">
        <v>255</v>
      </c>
      <c r="F51" s="7" t="s">
        <v>256</v>
      </c>
      <c r="G51" s="7" t="s">
        <v>257</v>
      </c>
      <c r="H51" s="7" t="s">
        <v>258</v>
      </c>
      <c r="I51" s="7" t="s">
        <v>259</v>
      </c>
      <c r="J51" s="7"/>
      <c r="K51" s="7"/>
      <c r="L51" s="77"/>
    </row>
    <row r="52" spans="1:12" ht="123.6" customHeight="1" x14ac:dyDescent="0.3">
      <c r="A52" s="7">
        <v>8</v>
      </c>
      <c r="B52" s="8">
        <v>8.4</v>
      </c>
      <c r="C52" s="68" t="s">
        <v>249</v>
      </c>
      <c r="D52" s="7">
        <v>0</v>
      </c>
      <c r="E52" s="7" t="s">
        <v>260</v>
      </c>
      <c r="F52" s="7" t="s">
        <v>261</v>
      </c>
      <c r="G52" s="7" t="s">
        <v>262</v>
      </c>
      <c r="H52" s="7" t="s">
        <v>241</v>
      </c>
      <c r="I52" s="7"/>
      <c r="J52" s="7"/>
      <c r="K52" s="7"/>
      <c r="L52" s="78"/>
    </row>
    <row r="53" spans="1:12" ht="252" customHeight="1" x14ac:dyDescent="0.3">
      <c r="A53" s="34">
        <v>9</v>
      </c>
      <c r="B53" s="35">
        <v>9.1</v>
      </c>
      <c r="C53" s="57" t="s">
        <v>263</v>
      </c>
      <c r="D53" s="36">
        <v>0</v>
      </c>
      <c r="E53" s="35" t="s">
        <v>112</v>
      </c>
      <c r="F53" s="35" t="s">
        <v>264</v>
      </c>
      <c r="G53" s="35" t="s">
        <v>265</v>
      </c>
      <c r="H53" s="37" t="s">
        <v>110</v>
      </c>
      <c r="I53" s="35"/>
      <c r="J53" s="35"/>
      <c r="K53" s="35"/>
      <c r="L53" s="92">
        <v>0.125</v>
      </c>
    </row>
    <row r="54" spans="1:12" ht="84.6" customHeight="1" x14ac:dyDescent="0.3">
      <c r="A54" s="34">
        <v>9</v>
      </c>
      <c r="B54" s="35">
        <v>9.1</v>
      </c>
      <c r="C54" s="57" t="s">
        <v>263</v>
      </c>
      <c r="D54" s="36">
        <v>0</v>
      </c>
      <c r="E54" s="35" t="s">
        <v>266</v>
      </c>
      <c r="F54" s="35" t="s">
        <v>267</v>
      </c>
      <c r="G54" s="35" t="s">
        <v>262</v>
      </c>
      <c r="H54" s="37" t="s">
        <v>241</v>
      </c>
      <c r="I54" s="35"/>
      <c r="J54" s="35"/>
      <c r="K54" s="35"/>
      <c r="L54" s="93"/>
    </row>
    <row r="55" spans="1:12" ht="45.6" x14ac:dyDescent="0.3">
      <c r="A55" s="34">
        <v>9</v>
      </c>
      <c r="B55" s="35">
        <v>9.1999999999999993</v>
      </c>
      <c r="C55" s="57" t="s">
        <v>268</v>
      </c>
      <c r="D55" s="36">
        <v>0</v>
      </c>
      <c r="E55" s="35" t="s">
        <v>269</v>
      </c>
      <c r="F55" s="35" t="s">
        <v>270</v>
      </c>
      <c r="G55" s="35" t="s">
        <v>271</v>
      </c>
      <c r="H55" s="35" t="s">
        <v>272</v>
      </c>
      <c r="I55" s="35"/>
      <c r="J55" s="35"/>
      <c r="K55" s="35"/>
      <c r="L55" s="93"/>
    </row>
    <row r="56" spans="1:12" ht="164.1" customHeight="1" x14ac:dyDescent="0.3">
      <c r="A56" s="34">
        <v>9</v>
      </c>
      <c r="B56" s="35">
        <v>9.3000000000000007</v>
      </c>
      <c r="C56" s="57" t="s">
        <v>273</v>
      </c>
      <c r="D56" s="36">
        <v>1</v>
      </c>
      <c r="E56" s="35" t="s">
        <v>274</v>
      </c>
      <c r="F56" s="35" t="s">
        <v>275</v>
      </c>
      <c r="G56" s="35" t="s">
        <v>276</v>
      </c>
      <c r="H56" s="37" t="s">
        <v>277</v>
      </c>
      <c r="I56" s="35" t="s">
        <v>278</v>
      </c>
      <c r="J56" s="35" t="s">
        <v>279</v>
      </c>
      <c r="K56" s="35"/>
      <c r="L56" s="93"/>
    </row>
    <row r="57" spans="1:12" ht="409.5" customHeight="1" x14ac:dyDescent="0.3">
      <c r="A57" s="34">
        <v>9</v>
      </c>
      <c r="B57" s="35">
        <v>9.4</v>
      </c>
      <c r="C57" s="57" t="s">
        <v>280</v>
      </c>
      <c r="D57" s="36">
        <v>0</v>
      </c>
      <c r="E57" s="35" t="s">
        <v>281</v>
      </c>
      <c r="F57" s="35" t="s">
        <v>282</v>
      </c>
      <c r="G57" s="35" t="s">
        <v>283</v>
      </c>
      <c r="H57" s="37" t="s">
        <v>284</v>
      </c>
      <c r="I57" s="35"/>
      <c r="J57" s="35"/>
      <c r="K57" s="35"/>
      <c r="L57" s="94"/>
    </row>
    <row r="58" spans="1:12" ht="136.80000000000001" x14ac:dyDescent="0.3">
      <c r="A58" s="16">
        <v>10</v>
      </c>
      <c r="B58" s="15">
        <v>10.1</v>
      </c>
      <c r="C58" s="55" t="s">
        <v>285</v>
      </c>
      <c r="D58" s="17">
        <v>0</v>
      </c>
      <c r="E58" s="15" t="s">
        <v>286</v>
      </c>
      <c r="F58" s="15" t="s">
        <v>287</v>
      </c>
      <c r="G58" s="15" t="s">
        <v>288</v>
      </c>
      <c r="H58" s="18" t="s">
        <v>289</v>
      </c>
      <c r="I58" s="18" t="s">
        <v>290</v>
      </c>
      <c r="J58" s="15"/>
      <c r="K58" s="15"/>
      <c r="L58" s="73">
        <v>0.47899999999999998</v>
      </c>
    </row>
    <row r="59" spans="1:12" ht="261" customHeight="1" x14ac:dyDescent="0.3">
      <c r="A59" s="16">
        <v>10</v>
      </c>
      <c r="B59" s="15">
        <v>10.199999999999999</v>
      </c>
      <c r="C59" s="55" t="s">
        <v>291</v>
      </c>
      <c r="D59" s="17">
        <v>0.5</v>
      </c>
      <c r="E59" s="15" t="s">
        <v>292</v>
      </c>
      <c r="F59" s="15" t="s">
        <v>293</v>
      </c>
      <c r="G59" s="15" t="s">
        <v>294</v>
      </c>
      <c r="H59" s="15" t="s">
        <v>295</v>
      </c>
      <c r="I59" s="38" t="s">
        <v>296</v>
      </c>
      <c r="J59" s="18" t="s">
        <v>297</v>
      </c>
      <c r="K59" s="39" t="s">
        <v>298</v>
      </c>
      <c r="L59" s="74"/>
    </row>
    <row r="60" spans="1:12" ht="338.1" customHeight="1" x14ac:dyDescent="0.3">
      <c r="A60" s="16">
        <v>10</v>
      </c>
      <c r="B60" s="15">
        <v>10.3</v>
      </c>
      <c r="C60" s="55" t="s">
        <v>299</v>
      </c>
      <c r="D60" s="17">
        <v>1</v>
      </c>
      <c r="E60" s="15" t="s">
        <v>78</v>
      </c>
      <c r="F60" s="15" t="s">
        <v>300</v>
      </c>
      <c r="G60" s="15" t="s">
        <v>301</v>
      </c>
      <c r="H60" s="18" t="s">
        <v>81</v>
      </c>
      <c r="I60" s="15"/>
      <c r="J60" s="15"/>
      <c r="K60" s="15"/>
      <c r="L60" s="74"/>
    </row>
    <row r="61" spans="1:12" ht="212.4" customHeight="1" x14ac:dyDescent="0.3">
      <c r="A61" s="16">
        <v>10</v>
      </c>
      <c r="B61" s="15">
        <v>10.4</v>
      </c>
      <c r="C61" s="55" t="s">
        <v>236</v>
      </c>
      <c r="D61" s="17">
        <v>1</v>
      </c>
      <c r="E61" s="15" t="s">
        <v>302</v>
      </c>
      <c r="F61" s="15" t="s">
        <v>303</v>
      </c>
      <c r="G61" s="15" t="s">
        <v>304</v>
      </c>
      <c r="H61" s="18" t="s">
        <v>305</v>
      </c>
      <c r="I61" s="18" t="s">
        <v>306</v>
      </c>
      <c r="J61" s="40" t="s">
        <v>307</v>
      </c>
      <c r="K61" s="15"/>
      <c r="L61" s="75"/>
    </row>
    <row r="62" spans="1:12" ht="321.60000000000002" customHeight="1" x14ac:dyDescent="0.3">
      <c r="A62" s="7">
        <v>11</v>
      </c>
      <c r="B62" s="8">
        <v>11.1</v>
      </c>
      <c r="C62" s="54" t="s">
        <v>308</v>
      </c>
      <c r="D62" s="9">
        <v>0</v>
      </c>
      <c r="E62" s="8" t="s">
        <v>309</v>
      </c>
      <c r="F62" s="8" t="s">
        <v>310</v>
      </c>
      <c r="G62" s="8" t="s">
        <v>311</v>
      </c>
      <c r="H62" s="8" t="s">
        <v>312</v>
      </c>
      <c r="I62" s="41" t="s">
        <v>313</v>
      </c>
      <c r="J62" s="8"/>
      <c r="K62" s="8"/>
      <c r="L62" s="76">
        <v>0</v>
      </c>
    </row>
    <row r="63" spans="1:12" ht="271.35000000000002" customHeight="1" x14ac:dyDescent="0.3">
      <c r="A63" s="7">
        <v>11</v>
      </c>
      <c r="B63" s="8">
        <v>11.2</v>
      </c>
      <c r="C63" s="54" t="s">
        <v>314</v>
      </c>
      <c r="D63" s="9">
        <v>0</v>
      </c>
      <c r="E63" s="8" t="s">
        <v>315</v>
      </c>
      <c r="F63" s="8" t="s">
        <v>316</v>
      </c>
      <c r="G63" s="8" t="s">
        <v>317</v>
      </c>
      <c r="H63" s="8" t="s">
        <v>36</v>
      </c>
      <c r="I63" s="10" t="s">
        <v>318</v>
      </c>
      <c r="J63" s="8" t="s">
        <v>319</v>
      </c>
      <c r="K63" s="8" t="s">
        <v>320</v>
      </c>
      <c r="L63" s="77"/>
    </row>
    <row r="64" spans="1:12" ht="67.5" customHeight="1" x14ac:dyDescent="0.3">
      <c r="A64" s="7">
        <v>11</v>
      </c>
      <c r="B64" s="8">
        <v>11.3</v>
      </c>
      <c r="C64" s="54" t="s">
        <v>321</v>
      </c>
      <c r="D64" s="9">
        <v>0</v>
      </c>
      <c r="E64" s="8" t="s">
        <v>322</v>
      </c>
      <c r="F64" s="8" t="s">
        <v>323</v>
      </c>
      <c r="G64" s="8" t="s">
        <v>324</v>
      </c>
      <c r="H64" s="10" t="s">
        <v>325</v>
      </c>
      <c r="I64" s="8"/>
      <c r="J64" s="8"/>
      <c r="K64" s="8"/>
      <c r="L64" s="77"/>
    </row>
    <row r="65" spans="1:12" ht="380.1" customHeight="1" x14ac:dyDescent="0.3">
      <c r="A65" s="7">
        <v>11</v>
      </c>
      <c r="B65" s="8">
        <v>11.4</v>
      </c>
      <c r="C65" s="54" t="s">
        <v>326</v>
      </c>
      <c r="D65" s="9">
        <v>0</v>
      </c>
      <c r="E65" s="8" t="s">
        <v>327</v>
      </c>
      <c r="F65" s="8" t="s">
        <v>328</v>
      </c>
      <c r="G65" s="8" t="s">
        <v>329</v>
      </c>
      <c r="H65" s="10" t="s">
        <v>330</v>
      </c>
      <c r="I65" s="8" t="s">
        <v>331</v>
      </c>
      <c r="J65" s="10" t="s">
        <v>332</v>
      </c>
      <c r="K65" s="8"/>
      <c r="L65" s="78"/>
    </row>
    <row r="66" spans="1:12" ht="57" x14ac:dyDescent="0.3">
      <c r="A66" s="14">
        <v>12</v>
      </c>
      <c r="B66" s="11">
        <v>12.01</v>
      </c>
      <c r="C66" s="58" t="s">
        <v>333</v>
      </c>
      <c r="D66" s="12">
        <v>0</v>
      </c>
      <c r="E66" s="11" t="s">
        <v>334</v>
      </c>
      <c r="F66" s="11" t="s">
        <v>335</v>
      </c>
      <c r="G66" s="11" t="s">
        <v>336</v>
      </c>
      <c r="H66" s="11" t="s">
        <v>69</v>
      </c>
      <c r="I66" s="11" t="s">
        <v>337</v>
      </c>
      <c r="J66" s="11"/>
      <c r="K66" s="11"/>
      <c r="L66" s="79">
        <v>0.16500000000000001</v>
      </c>
    </row>
    <row r="67" spans="1:12" ht="288" customHeight="1" x14ac:dyDescent="0.3">
      <c r="A67" s="14">
        <v>12</v>
      </c>
      <c r="B67" s="11">
        <v>12.2</v>
      </c>
      <c r="C67" s="58" t="s">
        <v>338</v>
      </c>
      <c r="D67" s="12">
        <v>0</v>
      </c>
      <c r="E67" s="11" t="s">
        <v>339</v>
      </c>
      <c r="F67" s="11" t="s">
        <v>340</v>
      </c>
      <c r="G67" s="11" t="s">
        <v>341</v>
      </c>
      <c r="H67" s="13" t="s">
        <v>337</v>
      </c>
      <c r="I67" s="11"/>
      <c r="J67" s="11"/>
      <c r="K67" s="11"/>
      <c r="L67" s="80"/>
    </row>
    <row r="68" spans="1:12" ht="77.099999999999994" customHeight="1" x14ac:dyDescent="0.3">
      <c r="A68" s="14">
        <v>12</v>
      </c>
      <c r="B68" s="11">
        <v>12.3</v>
      </c>
      <c r="C68" s="58" t="s">
        <v>342</v>
      </c>
      <c r="D68" s="12">
        <v>0</v>
      </c>
      <c r="E68" s="11" t="s">
        <v>343</v>
      </c>
      <c r="F68" s="11" t="s">
        <v>344</v>
      </c>
      <c r="G68" s="11" t="s">
        <v>345</v>
      </c>
      <c r="H68" s="13" t="s">
        <v>346</v>
      </c>
      <c r="I68" s="11" t="s">
        <v>337</v>
      </c>
      <c r="J68" s="11"/>
      <c r="K68" s="11"/>
      <c r="L68" s="81"/>
    </row>
    <row r="69" spans="1:12" ht="44.4" customHeight="1" x14ac:dyDescent="0.3">
      <c r="A69" s="14">
        <v>12</v>
      </c>
      <c r="B69" s="11">
        <v>12.4</v>
      </c>
      <c r="C69" s="58" t="s">
        <v>347</v>
      </c>
      <c r="D69" s="12">
        <v>0</v>
      </c>
      <c r="E69" s="11" t="s">
        <v>348</v>
      </c>
      <c r="F69" s="11" t="s">
        <v>349</v>
      </c>
      <c r="G69" s="11" t="s">
        <v>350</v>
      </c>
      <c r="H69" s="11" t="s">
        <v>351</v>
      </c>
      <c r="I69" s="11"/>
      <c r="J69" s="11"/>
      <c r="K69" s="11"/>
      <c r="L69" s="81"/>
    </row>
    <row r="70" spans="1:12" ht="45" customHeight="1" x14ac:dyDescent="0.3">
      <c r="A70" s="14">
        <v>12</v>
      </c>
      <c r="B70" s="11">
        <v>12.4</v>
      </c>
      <c r="C70" s="58" t="s">
        <v>347</v>
      </c>
      <c r="D70" s="12">
        <v>0</v>
      </c>
      <c r="E70" s="11" t="s">
        <v>348</v>
      </c>
      <c r="F70" s="11" t="s">
        <v>352</v>
      </c>
      <c r="G70" s="11" t="s">
        <v>350</v>
      </c>
      <c r="H70" s="11" t="s">
        <v>351</v>
      </c>
      <c r="I70" s="11"/>
      <c r="J70" s="11"/>
      <c r="K70" s="11"/>
      <c r="L70" s="81"/>
    </row>
    <row r="71" spans="1:12" ht="61.35" customHeight="1" x14ac:dyDescent="0.3">
      <c r="A71" s="14">
        <v>12</v>
      </c>
      <c r="B71" s="11">
        <v>12.4</v>
      </c>
      <c r="C71" s="58" t="s">
        <v>347</v>
      </c>
      <c r="D71" s="12">
        <v>0</v>
      </c>
      <c r="E71" s="11" t="s">
        <v>353</v>
      </c>
      <c r="F71" s="11" t="s">
        <v>354</v>
      </c>
      <c r="G71" s="11" t="s">
        <v>355</v>
      </c>
      <c r="H71" s="11" t="s">
        <v>356</v>
      </c>
      <c r="I71" s="11"/>
      <c r="J71" s="11"/>
      <c r="K71" s="11"/>
      <c r="L71" s="81"/>
    </row>
    <row r="72" spans="1:12" ht="154.35" customHeight="1" x14ac:dyDescent="0.3">
      <c r="A72" s="14">
        <v>12</v>
      </c>
      <c r="B72" s="11">
        <v>12.4</v>
      </c>
      <c r="C72" s="58" t="s">
        <v>347</v>
      </c>
      <c r="D72" s="12">
        <v>1</v>
      </c>
      <c r="E72" s="11" t="s">
        <v>357</v>
      </c>
      <c r="F72" s="11" t="s">
        <v>358</v>
      </c>
      <c r="G72" s="11" t="s">
        <v>359</v>
      </c>
      <c r="H72" s="13" t="s">
        <v>360</v>
      </c>
      <c r="I72" s="11" t="s">
        <v>361</v>
      </c>
      <c r="J72" s="11" t="s">
        <v>362</v>
      </c>
      <c r="K72" s="11"/>
      <c r="L72" s="81"/>
    </row>
    <row r="73" spans="1:12" ht="135" customHeight="1" x14ac:dyDescent="0.3">
      <c r="A73" s="14">
        <v>12</v>
      </c>
      <c r="B73" s="11">
        <v>12.4</v>
      </c>
      <c r="C73" s="58" t="s">
        <v>347</v>
      </c>
      <c r="D73" s="12">
        <v>0</v>
      </c>
      <c r="E73" s="11" t="s">
        <v>363</v>
      </c>
      <c r="F73" s="11" t="s">
        <v>364</v>
      </c>
      <c r="G73" s="11" t="s">
        <v>365</v>
      </c>
      <c r="H73" s="11" t="s">
        <v>366</v>
      </c>
      <c r="I73" s="11" t="s">
        <v>367</v>
      </c>
      <c r="J73" s="11"/>
      <c r="K73" s="11"/>
      <c r="L73" s="81"/>
    </row>
    <row r="74" spans="1:12" ht="111.6" customHeight="1" x14ac:dyDescent="0.3">
      <c r="A74" s="14">
        <v>12</v>
      </c>
      <c r="B74" s="11">
        <v>12.4</v>
      </c>
      <c r="C74" s="58" t="s">
        <v>347</v>
      </c>
      <c r="D74" s="12">
        <v>0</v>
      </c>
      <c r="E74" s="11" t="s">
        <v>368</v>
      </c>
      <c r="F74" s="11" t="s">
        <v>369</v>
      </c>
      <c r="G74" s="11" t="s">
        <v>370</v>
      </c>
      <c r="H74" s="11" t="s">
        <v>131</v>
      </c>
      <c r="I74" s="11" t="s">
        <v>351</v>
      </c>
      <c r="J74" s="11"/>
      <c r="K74" s="11"/>
      <c r="L74" s="81"/>
    </row>
    <row r="75" spans="1:12" ht="57" x14ac:dyDescent="0.3">
      <c r="A75" s="14">
        <v>12</v>
      </c>
      <c r="B75" s="11">
        <v>12.4</v>
      </c>
      <c r="C75" s="58" t="s">
        <v>347</v>
      </c>
      <c r="D75" s="12">
        <v>0</v>
      </c>
      <c r="E75" s="11" t="s">
        <v>371</v>
      </c>
      <c r="F75" s="11" t="s">
        <v>372</v>
      </c>
      <c r="G75" s="11" t="s">
        <v>373</v>
      </c>
      <c r="H75" s="11" t="s">
        <v>374</v>
      </c>
      <c r="I75" s="11" t="s">
        <v>337</v>
      </c>
      <c r="J75" s="11"/>
      <c r="K75" s="11"/>
      <c r="L75" s="81"/>
    </row>
    <row r="76" spans="1:12" ht="209.1" customHeight="1" x14ac:dyDescent="0.3">
      <c r="A76" s="14">
        <v>12</v>
      </c>
      <c r="B76" s="11">
        <v>12.5</v>
      </c>
      <c r="C76" s="58" t="s">
        <v>375</v>
      </c>
      <c r="D76" s="12">
        <v>0</v>
      </c>
      <c r="E76" s="11" t="s">
        <v>376</v>
      </c>
      <c r="F76" s="11" t="s">
        <v>377</v>
      </c>
      <c r="G76" s="11" t="s">
        <v>378</v>
      </c>
      <c r="H76" s="13" t="s">
        <v>379</v>
      </c>
      <c r="I76" s="11"/>
      <c r="J76" s="11"/>
      <c r="K76" s="11"/>
      <c r="L76" s="81"/>
    </row>
    <row r="77" spans="1:12" ht="57" x14ac:dyDescent="0.3">
      <c r="A77" s="14">
        <v>12</v>
      </c>
      <c r="B77" s="11">
        <v>12.6</v>
      </c>
      <c r="C77" s="58" t="s">
        <v>380</v>
      </c>
      <c r="D77" s="12">
        <v>1</v>
      </c>
      <c r="E77" s="11" t="s">
        <v>381</v>
      </c>
      <c r="F77" s="11" t="s">
        <v>382</v>
      </c>
      <c r="G77" s="11" t="s">
        <v>383</v>
      </c>
      <c r="H77" s="11" t="s">
        <v>384</v>
      </c>
      <c r="I77" s="11" t="s">
        <v>385</v>
      </c>
      <c r="J77" s="11"/>
      <c r="K77" s="11"/>
      <c r="L77" s="81"/>
    </row>
    <row r="78" spans="1:12" ht="90.75" customHeight="1" x14ac:dyDescent="0.3">
      <c r="A78" s="14">
        <v>12</v>
      </c>
      <c r="B78" s="11">
        <v>12.7</v>
      </c>
      <c r="C78" s="58" t="s">
        <v>386</v>
      </c>
      <c r="D78" s="12">
        <v>0</v>
      </c>
      <c r="E78" s="11" t="s">
        <v>387</v>
      </c>
      <c r="F78" s="11" t="s">
        <v>388</v>
      </c>
      <c r="G78" s="11" t="s">
        <v>389</v>
      </c>
      <c r="H78" s="13" t="s">
        <v>88</v>
      </c>
      <c r="I78" s="13"/>
      <c r="J78" s="11"/>
      <c r="K78" s="11"/>
      <c r="L78" s="81"/>
    </row>
    <row r="79" spans="1:12" ht="91.2" x14ac:dyDescent="0.3">
      <c r="A79" s="14">
        <v>12</v>
      </c>
      <c r="B79" s="11">
        <v>12.8</v>
      </c>
      <c r="C79" s="58" t="s">
        <v>390</v>
      </c>
      <c r="D79" s="12">
        <v>0</v>
      </c>
      <c r="E79" s="11" t="s">
        <v>391</v>
      </c>
      <c r="F79" s="11" t="s">
        <v>392</v>
      </c>
      <c r="G79" s="11" t="s">
        <v>393</v>
      </c>
      <c r="H79" s="13" t="s">
        <v>394</v>
      </c>
      <c r="I79" s="13" t="s">
        <v>395</v>
      </c>
      <c r="J79" s="11" t="s">
        <v>396</v>
      </c>
      <c r="K79" s="11"/>
      <c r="L79" s="81"/>
    </row>
    <row r="80" spans="1:12" ht="79.8" x14ac:dyDescent="0.3">
      <c r="A80" s="14">
        <v>12</v>
      </c>
      <c r="B80" s="11">
        <v>12.9</v>
      </c>
      <c r="C80" s="58" t="s">
        <v>397</v>
      </c>
      <c r="D80" s="12">
        <v>1</v>
      </c>
      <c r="E80" s="11" t="s">
        <v>398</v>
      </c>
      <c r="F80" s="11" t="s">
        <v>399</v>
      </c>
      <c r="G80" s="11" t="s">
        <v>400</v>
      </c>
      <c r="H80" s="13" t="s">
        <v>401</v>
      </c>
      <c r="I80" s="11"/>
      <c r="J80" s="11"/>
      <c r="K80" s="11"/>
      <c r="L80" s="81"/>
    </row>
    <row r="81" spans="1:12" ht="68.400000000000006" x14ac:dyDescent="0.3">
      <c r="A81" s="14">
        <v>12</v>
      </c>
      <c r="B81" s="42">
        <v>12.1</v>
      </c>
      <c r="C81" s="58" t="s">
        <v>402</v>
      </c>
      <c r="D81" s="12">
        <v>0</v>
      </c>
      <c r="E81" s="11" t="s">
        <v>403</v>
      </c>
      <c r="F81" s="11" t="s">
        <v>404</v>
      </c>
      <c r="G81" s="11" t="s">
        <v>405</v>
      </c>
      <c r="H81" s="13" t="s">
        <v>406</v>
      </c>
      <c r="I81" s="11"/>
      <c r="J81" s="11"/>
      <c r="K81" s="11"/>
      <c r="L81" s="81"/>
    </row>
    <row r="82" spans="1:12" ht="68.400000000000006" x14ac:dyDescent="0.3">
      <c r="A82" s="14">
        <v>12</v>
      </c>
      <c r="B82" s="11">
        <v>12.11</v>
      </c>
      <c r="C82" s="69" t="s">
        <v>407</v>
      </c>
      <c r="D82" s="42">
        <v>0.5</v>
      </c>
      <c r="E82" s="11" t="s">
        <v>408</v>
      </c>
      <c r="F82" s="11" t="s">
        <v>409</v>
      </c>
      <c r="G82" s="11" t="s">
        <v>410</v>
      </c>
      <c r="H82" s="13" t="s">
        <v>411</v>
      </c>
      <c r="I82" s="11"/>
      <c r="J82" s="11"/>
      <c r="K82" s="11"/>
      <c r="L82" s="82"/>
    </row>
    <row r="83" spans="1:12" ht="52.5" customHeight="1" x14ac:dyDescent="1">
      <c r="A83" s="43"/>
      <c r="B83" s="44"/>
      <c r="C83" s="44"/>
      <c r="D83" s="44"/>
      <c r="E83" s="44"/>
      <c r="F83" s="44"/>
      <c r="G83" s="44"/>
      <c r="H83" s="44"/>
      <c r="I83" s="44"/>
      <c r="J83" s="43"/>
      <c r="K83" s="45" t="s">
        <v>412</v>
      </c>
      <c r="L83" s="46">
        <v>0.31900000000000001</v>
      </c>
    </row>
    <row r="84" spans="1:12" ht="15.75" customHeight="1" x14ac:dyDescent="1">
      <c r="A84" s="47"/>
      <c r="B84" s="43"/>
      <c r="C84" s="43"/>
      <c r="D84" s="43"/>
      <c r="E84" s="43"/>
      <c r="F84" s="43"/>
      <c r="G84" s="43"/>
      <c r="H84" s="43"/>
      <c r="I84" s="43"/>
      <c r="J84" s="47"/>
      <c r="K84" s="47"/>
      <c r="L84" s="48"/>
    </row>
  </sheetData>
  <mergeCells count="12">
    <mergeCell ref="L6:L11"/>
    <mergeCell ref="L12:L17"/>
    <mergeCell ref="L18:L27"/>
    <mergeCell ref="L2:L5"/>
    <mergeCell ref="L58:L61"/>
    <mergeCell ref="L62:L65"/>
    <mergeCell ref="L66:L82"/>
    <mergeCell ref="L28:L35"/>
    <mergeCell ref="L36:L40"/>
    <mergeCell ref="L41:L46"/>
    <mergeCell ref="L47:L52"/>
    <mergeCell ref="L53:L57"/>
  </mergeCells>
  <hyperlinks>
    <hyperlink ref="H7" r:id="rId1" xr:uid="{D2929A86-3663-4335-BC14-6A70ADCCF47A}"/>
    <hyperlink ref="I19" r:id="rId2" xr:uid="{8C3EA016-2BC0-4A39-9C3F-74507F144654}"/>
    <hyperlink ref="H21" r:id="rId3" xr:uid="{680036D8-7DD0-4D82-9DCB-9EDA6EE53E0B}"/>
    <hyperlink ref="H24" r:id="rId4" tooltip="https://wipolex.wipo.int/en/treaties/ShowResults?search_what=C&amp;treaty_id=16" xr:uid="{B0D439DA-3FCC-4CFB-A073-E2F01CAAE16B}"/>
    <hyperlink ref="H25" r:id="rId5" xr:uid="{89770E27-1EB8-4E25-8C2F-7E4B7F37CB4B}"/>
    <hyperlink ref="J28" r:id="rId6" xr:uid="{899CFDC6-1F2D-4765-800A-F952856D8C64}"/>
    <hyperlink ref="H28" r:id="rId7" xr:uid="{E0FC7CD5-4233-45C1-9CA6-F8F2EA6415D4}"/>
    <hyperlink ref="J32" r:id="rId8" xr:uid="{804C4316-E66E-4C41-91E5-EA4C90BCAFF1}"/>
    <hyperlink ref="H80" r:id="rId9" xr:uid="{0B19265A-BE40-4BA2-AAC0-4A78D09F09DF}"/>
    <hyperlink ref="H81" r:id="rId10" xr:uid="{E22B23EA-B55D-404C-815F-1F77762BFE33}"/>
    <hyperlink ref="H82" r:id="rId11" tooltip="https://uncitral.un.org/en/texts/ecommerce/modellaw/electronic_signatures/status" xr:uid="{1C021DC4-4489-4C3C-B5A6-FA710974F030}"/>
    <hyperlink ref="H18" r:id="rId12" xr:uid="{E2A4B788-16F5-4A6B-BE16-573D9FE5AA78}"/>
    <hyperlink ref="I59" r:id="rId13" xr:uid="{BB9C8090-520E-4E4A-BFF1-A1E03C7ED8F8}"/>
    <hyperlink ref="J59" r:id="rId14" xr:uid="{E5EEA739-5C10-4E72-8360-53E3973DBA8B}"/>
    <hyperlink ref="H4" r:id="rId15" xr:uid="{81DE5128-686D-432D-B179-49A5FFE89DA5}"/>
    <hyperlink ref="I4" r:id="rId16" xr:uid="{3D33E310-2047-4CCD-B202-13F1148A7A3F}"/>
    <hyperlink ref="J5" r:id="rId17" xr:uid="{C1816310-3E4A-4756-BD2F-1E2A2248AC5E}"/>
    <hyperlink ref="H6" r:id="rId18" tooltip="https://www.legislation.gov.au/F2014L00911/latest/text_x000a_" xr:uid="{090CCC88-F932-494C-938D-23009C7600BF}"/>
    <hyperlink ref="I6" r:id="rId19" xr:uid="{96A06E0C-5B3E-49F4-8FD5-7793E2C3D633}"/>
    <hyperlink ref="J6" r:id="rId20" xr:uid="{B901D80A-8BA4-4BEA-BC9F-CED0B98E9F61}"/>
    <hyperlink ref="H8" r:id="rId21" xr:uid="{AC9BE016-6467-46CF-9CD8-84ED5BF79B4C}"/>
    <hyperlink ref="I8" r:id="rId22" xr:uid="{6AF39608-69F0-4140-B520-FCAA61CC7A4A}"/>
    <hyperlink ref="J8" r:id="rId23" xr:uid="{52D14B33-3972-4A99-9789-9F72717A9828}"/>
    <hyperlink ref="H9" r:id="rId24" xr:uid="{6CA32E30-DCFC-497C-8F33-BF63D47837C8}"/>
    <hyperlink ref="H10" r:id="rId25" xr:uid="{DAF83A1D-56DD-4515-939C-3AB4F4BFD1F2}"/>
    <hyperlink ref="I10" r:id="rId26" xr:uid="{3910659F-25F0-48E4-AC34-28DBC3FA75F8}"/>
    <hyperlink ref="H11" r:id="rId27" location=":~:text=Australia's%20GPA%20Accession,Committee%20on%2017%20October%202018" xr:uid="{66FC5D39-19BD-48F2-84BF-A9DEAB36092B}"/>
    <hyperlink ref="I11" r:id="rId28" xr:uid="{4D3AFB6E-B7BA-40F2-865E-4A0DEBE7C4DA}"/>
    <hyperlink ref="H12" r:id="rId29" xr:uid="{AC074C44-833F-470A-9D86-65735216487F}"/>
    <hyperlink ref="H15" r:id="rId30" xr:uid="{7F150CC4-0AB7-4BCE-A0A7-B45F7DCF1DF5}"/>
    <hyperlink ref="H16" r:id="rId31" xr:uid="{A60A256E-CD0E-4042-965C-4E7EF5D2B64B}"/>
    <hyperlink ref="I16" r:id="rId32" xr:uid="{C4C24CCA-6777-48D3-9E5D-ED789A4B2BB7}"/>
    <hyperlink ref="J16" r:id="rId33" xr:uid="{12CE4650-FAF8-44A2-988A-DEF422FEC74B}"/>
    <hyperlink ref="H17" r:id="rId34" xr:uid="{3BE116C7-836F-4974-8859-D682DB2F5BE1}"/>
    <hyperlink ref="I17" r:id="rId35" xr:uid="{8A3FF9C2-3AF9-4A3B-AF17-16E0169B723D}"/>
    <hyperlink ref="H20" r:id="rId36" xr:uid="{2615C71C-1637-48AE-AD62-2F80560D7AAD}"/>
    <hyperlink ref="H22" r:id="rId37" xr:uid="{1B97F4A7-18E7-4DF2-93E2-8902D1B193F1}"/>
    <hyperlink ref="H23" r:id="rId38" xr:uid="{D36EB04A-FB7F-4473-B9EF-CD619E93B3A0}"/>
    <hyperlink ref="I26" r:id="rId39" xr:uid="{758353DD-CE13-468E-B737-C76A67D43E48}"/>
    <hyperlink ref="H26" r:id="rId40" xr:uid="{FDAA3F8E-C8D6-48BD-9A3E-2EA99B624B4C}"/>
    <hyperlink ref="H27" r:id="rId41" xr:uid="{92FC81B5-AD2F-4A62-89E1-C891E631F0F8}"/>
    <hyperlink ref="I27" r:id="rId42" xr:uid="{79F937A3-AC09-4B21-9062-DBF7B749B5EC}"/>
    <hyperlink ref="J27" r:id="rId43" xr:uid="{2762C8FA-C1C9-47A1-9F64-8D3572B65F4C}"/>
    <hyperlink ref="I28" r:id="rId44" xr:uid="{935DB699-4754-4A02-947D-2DBC08DED65F}"/>
    <hyperlink ref="H29" r:id="rId45" xr:uid="{EB5FA1E4-1D74-404D-AE6C-1DAAEFF2F857}"/>
    <hyperlink ref="H31" r:id="rId46" xr:uid="{B96B179D-2134-454F-9163-106AB4F162EF}"/>
    <hyperlink ref="I31" r:id="rId47" xr:uid="{8843BC63-B9A8-4C72-8FE0-4AD0723E90B7}"/>
    <hyperlink ref="H32" r:id="rId48" xr:uid="{5A687A0D-CE6C-4707-84AF-48725F00C940}"/>
    <hyperlink ref="H33" r:id="rId49" xr:uid="{D16DD594-BCC1-4ED2-B3E3-FEFFB8E8195D}"/>
    <hyperlink ref="I36" r:id="rId50" xr:uid="{4A0C1DA2-9EC9-417E-BB08-E2BF5B5065CF}"/>
    <hyperlink ref="H36" r:id="rId51" xr:uid="{7119DC2C-CE23-439F-98C6-02C9D08B77DF}"/>
    <hyperlink ref="H37" r:id="rId52" xr:uid="{4DE43DC4-73FD-401B-931C-1A8D23E2A22A}"/>
    <hyperlink ref="I37" r:id="rId53" xr:uid="{9B112BD7-B327-490E-A31E-9C6E5098ECF4}"/>
    <hyperlink ref="H38" r:id="rId54" xr:uid="{E6C877B2-3A4A-49BB-9FF7-7A9507CF4749}"/>
    <hyperlink ref="H41" r:id="rId55" xr:uid="{AE1A7F34-F74A-4076-9575-668A3F290399}"/>
    <hyperlink ref="I41" r:id="rId56" xr:uid="{C245D0A3-EEC5-4FA9-B284-A70098E0D463}"/>
    <hyperlink ref="H42" r:id="rId57" xr:uid="{12C17090-0059-4888-A00C-F04627864BF9}"/>
    <hyperlink ref="H43" r:id="rId58" location="step-1-embed-a-culture-of-privacy-that-enables-compliance" xr:uid="{5911F2B9-6E3B-4A80-9D87-31E8C07CC140}"/>
    <hyperlink ref="H44" r:id="rId59" xr:uid="{2B70C07C-92A5-436D-BB4D-7701FB38F6A5}"/>
    <hyperlink ref="I44" r:id="rId60" xr:uid="{D26C6AE6-2144-49C6-8017-9D569D60E328}"/>
    <hyperlink ref="I48" r:id="rId61" xr:uid="{4496B12F-4210-43D3-AA2C-25CFEAC35CF9}"/>
    <hyperlink ref="H49" r:id="rId62" xr:uid="{C75E2638-2280-4C04-91EF-33A75E2E6750}"/>
    <hyperlink ref="H52" r:id="rId63" xr:uid="{56F370FC-002D-4355-9691-E31594188826}"/>
    <hyperlink ref="H54" r:id="rId64" xr:uid="{107EC56E-9DDF-49BB-98DB-0BCD5D377165}"/>
    <hyperlink ref="H53" r:id="rId65" xr:uid="{1DF30DF7-2948-4CA3-8C6A-8EF295073DC5}"/>
    <hyperlink ref="H56" r:id="rId66" xr:uid="{3CFD91E8-1B2F-4E5C-AD61-60B8AA27E871}"/>
    <hyperlink ref="H57" r:id="rId67" xr:uid="{E512E4E3-1807-4698-8809-38E8F808214C}"/>
    <hyperlink ref="H58" r:id="rId68" xr:uid="{2995CE52-7357-4493-89AE-4EFD32ED11DA}"/>
    <hyperlink ref="I58" r:id="rId69" xr:uid="{62BF823F-F6DA-41DD-B81A-452E2ED820D7}"/>
    <hyperlink ref="H60" r:id="rId70" xr:uid="{74A74AAA-3179-48A7-BE27-6CDAAC35095D}"/>
    <hyperlink ref="J61" r:id="rId71" xr:uid="{07733029-F51C-4885-959E-104063397AE2}"/>
    <hyperlink ref="I61" r:id="rId72" xr:uid="{20018276-77CA-498F-BA28-C0F6383F957A}"/>
    <hyperlink ref="H61" r:id="rId73" xr:uid="{14D82EE8-48B2-4F04-8C63-71FA64D4DFE6}"/>
    <hyperlink ref="I62" r:id="rId74" xr:uid="{5FB6853D-8204-4A59-A51A-5F541FFA98F1}"/>
    <hyperlink ref="I63" r:id="rId75" xr:uid="{D00E93DE-5CEB-48F4-9C47-C908AEADB673}"/>
    <hyperlink ref="H64" r:id="rId76" xr:uid="{1801E3F8-8451-4E44-ACA4-1A4761961498}"/>
    <hyperlink ref="H65" r:id="rId77" xr:uid="{BD15F317-4F20-44E6-A532-F211DCDE95C2}"/>
    <hyperlink ref="J65" r:id="rId78" xr:uid="{9F2A4F70-A187-4F82-8099-A6FBC1D134BE}"/>
    <hyperlink ref="H67" r:id="rId79" xr:uid="{C092CB8D-BB0B-46E8-8A77-A3D9B260F8AB}"/>
    <hyperlink ref="H68" r:id="rId80" xr:uid="{DA79BB11-0C9F-4826-9F28-E6F555BA17C4}"/>
    <hyperlink ref="H72" r:id="rId81" xr:uid="{D409B693-2B7E-4A39-ACB0-9D9AEFE02F4D}"/>
    <hyperlink ref="H76" r:id="rId82" xr:uid="{B4A2C28C-AF23-41BC-95B5-F853639AB023}"/>
    <hyperlink ref="H78" r:id="rId83" xr:uid="{79399211-C9C9-417A-9110-E3DC8DA41F66}"/>
    <hyperlink ref="I79" r:id="rId84" xr:uid="{AA09FEBF-87EE-4CA4-8B0B-E542673C9061}"/>
    <hyperlink ref="H79" r:id="rId85" xr:uid="{957E63E1-39FE-446E-81AD-30580A1C3D85}"/>
    <hyperlink ref="H2" r:id="rId86" xr:uid="{3DCE20E0-9CC5-4631-BC1E-CF7AC638559F}"/>
    <hyperlink ref="H3" r:id="rId87" xr:uid="{4626E230-1BFA-451C-A8E0-73EF515421CC}"/>
  </hyperlinks>
  <pageMargins left="0.7" right="0.7" top="0.75" bottom="0.75" header="0.3" footer="0.3"/>
  <pageSetup paperSize="9" orientation="portrait" r:id="rId8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33F307-6BA0-4091-8811-C1415C23779A}">
  <ds:schemaRefs>
    <ds:schemaRef ds:uri="http://schemas.microsoft.com/office/infopath/2007/PartnerControls"/>
    <ds:schemaRef ds:uri="http://www.w3.org/XML/1998/namespace"/>
    <ds:schemaRef ds:uri="http://purl.org/dc/terms/"/>
    <ds:schemaRef ds:uri="14505370-5f19-44ab-86de-d5c146ea2f60"/>
    <ds:schemaRef ds:uri="e0054212-7337-4fdc-a340-135e976ff0b3"/>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509C27E2-F48D-4125-B2A4-D5AE2F8557AC}">
  <ds:schemaRefs>
    <ds:schemaRef ds:uri="http://schemas.microsoft.com/sharepoint/v3/contenttype/forms"/>
  </ds:schemaRefs>
</ds:datastoreItem>
</file>

<file path=customXml/itemProps3.xml><?xml version="1.0" encoding="utf-8"?>
<ds:datastoreItem xmlns:ds="http://schemas.openxmlformats.org/officeDocument/2006/customXml" ds:itemID="{4A50E73C-F97A-4DB2-A6CE-6A4D01197F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Australia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Florette Veronique A Peter</cp:lastModifiedBy>
  <cp:revision/>
  <dcterms:created xsi:type="dcterms:W3CDTF">2026-02-09T03:40:38Z</dcterms:created>
  <dcterms:modified xsi:type="dcterms:W3CDTF">2026-02-18T11:44:55Z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2600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