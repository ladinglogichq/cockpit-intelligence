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66925"/>
  <mc:AlternateContent xmlns:mc="http://schemas.openxmlformats.org/markup-compatibility/2006">
    <mc:Choice Requires="x15">
      <x15ac:absPath xmlns:x15ac="http://schemas.microsoft.com/office/spreadsheetml/2010/11/ac" url="https://unitednations.sharepoint.com/sites/ESCAPRDTII/Shared Documents/RDTII/3RC DTRI portal/RDTII/Version 3 Feb 2026 (2025 data)/(almost) ready to send/"/>
    </mc:Choice>
  </mc:AlternateContent>
  <xr:revisionPtr revIDLastSave="754" documentId="8_{4FC7275C-AEDE-475F-96A9-B8E158AF6696}" xr6:coauthVersionLast="47" xr6:coauthVersionMax="47" xr10:uidLastSave="{9931A23C-5351-4FA9-9581-EF340D23B5FB}"/>
  <bookViews>
    <workbookView xWindow="-20604" yWindow="-108" windowWidth="20712" windowHeight="11016" xr2:uid="{A5A9EA50-15B9-4A7F-8225-66C9E7C90CF1}"/>
  </bookViews>
  <sheets>
    <sheet name="Armenia"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 l="1"/>
  <c r="D2" i="1"/>
</calcChain>
</file>

<file path=xl/sharedStrings.xml><?xml version="1.0" encoding="utf-8"?>
<sst xmlns="http://schemas.openxmlformats.org/spreadsheetml/2006/main" count="492" uniqueCount="320">
  <si>
    <t>Chapter</t>
  </si>
  <si>
    <t>Question</t>
  </si>
  <si>
    <t>Question: description</t>
  </si>
  <si>
    <t>Individual Indicator Score</t>
  </si>
  <si>
    <t>Source Legislation</t>
  </si>
  <si>
    <t>Impact</t>
  </si>
  <si>
    <t>Timeframe for Indicator</t>
  </si>
  <si>
    <t>References</t>
  </si>
  <si>
    <t>References, 2</t>
  </si>
  <si>
    <t>References, 3</t>
  </si>
  <si>
    <t>References, 4</t>
  </si>
  <si>
    <t>Overall Pillar Score</t>
  </si>
  <si>
    <t>Weighted average of effective tariff rates applied on ICT goods imported from other Asia-Pacific economies (%)</t>
  </si>
  <si>
    <t>Effectively applied tariffs on ICT goods (in weighted average) imported from other economies within the considered United Nations region (%)</t>
  </si>
  <si>
    <t>Since 2021</t>
  </si>
  <si>
    <t>http://wits.worldbank.org/WITS/</t>
  </si>
  <si>
    <t>Percentage of none duty-free tariff lines on ICT goods imported from other Asia-Pacific economies (%)</t>
  </si>
  <si>
    <t>No duty-free tariff lines on ICT goods from other economies within the considered United Nations region (%)</t>
  </si>
  <si>
    <t>Not a signatory to the WTO ITA I and ITA II</t>
  </si>
  <si>
    <t>Lack of Participation in Information Technology Agreement (ITA) and in ITA Expansion Agreement (ITA II)</t>
  </si>
  <si>
    <t>Lack of Participation in Information Technology Agreement (ITA) and in ITA Expansion Agreement (ITA II).
Armenia has fulfilled the necessary internal procedures on acceding to the WTO Information Technology Agreement (ITA I). An international agreement signed or subject to accession by the Republic of Armenia under RA Law on International Agreements shall become binding on the Republic of Armenia through ratification by the National Assembly of the Republic of Armenia or approval of the President of the Republic.
At the moment, it is in the process of finishing the necessary domestic procedures.</t>
  </si>
  <si>
    <t>Last reviewed in October 2024</t>
  </si>
  <si>
    <t>https://www.wto.org/english/tratop_e/inftec_e/itscheds_e.htm</t>
  </si>
  <si>
    <t>Imposing trade defence measures (anti-dumping, countervailing duties and safeguards) on ICT-related products imported by other Asia-Pacific economies</t>
  </si>
  <si>
    <t>Decision of the EEC Board No. 115 : On the application of an anti-dumping measure by imposing an anti-dumping duty on aluminum tapes coming from the Republic of Azerbaijan and the People's Republic of China and imported into the customs territory of the Eurasian Economic Union</t>
  </si>
  <si>
    <t>Since October 2020, the Eurasian Economic Commission has introduced an anti-dumping measure against aluminum alloy strips (760611) from Azerbaijan and China. As a member state, Armenia enforces this measure.</t>
  </si>
  <si>
    <t>Since October 2020, as amended in August 2024</t>
  </si>
  <si>
    <t>https://remedies.eaeunion.org/dimd/ru/security/actions/card/65f1a956b672cc55b9acf71c </t>
  </si>
  <si>
    <t>https://docs.eaeunion.org/docs/ru-ru/01527359/err_24092020_115</t>
  </si>
  <si>
    <t>Law on Trade Remedies (Anti-Dumping, Safeguard, and Countervailing Duties) 2002</t>
  </si>
  <si>
    <t>Since adoption, this law implements trade remedies to protect domestic industries from unfair trade practices like dumping and subsidies. As per the amendment of 2017, safeguard duties affect foreign businesses exporting ICT products. No specific safeguard duties targeting ICT products.</t>
  </si>
  <si>
    <t>Since July 2002, last amended in January 2017</t>
  </si>
  <si>
    <t>https://cis-legislation.com/document.fwx?rgn=27341</t>
  </si>
  <si>
    <t>Foreign exclusions from public procurement related to ICT goods and digital services</t>
  </si>
  <si>
    <t>Law on Public Procurement 2016</t>
  </si>
  <si>
    <t>Since 2016, the law regulates the procurement process for government contracts. As per the amendment of 2022, the are no measures regarding foreign exclusions from public procurement related to ICT goods and services. Article 7 (Equal paticipation in procurement) provides that any person, irrespective of the fact of being a foreign natural person, an organisation or a stateless person, shall have equal right to participate in the procurement process. 
However, participation of any person (persons) — resident of any country — in the procurement process may be restricted only by the Decision of the Government of the Republic of Armenia, where it is necessary to ensure the national security and defence of the Republic of Armenia. The notice must clearly communicate whether participation is open to everyone or if there are specific restrictions based on the national security and defence. If it is open to all, the terms cannot be modified after publication. If there are restrictions, those must be explicitly stated.</t>
  </si>
  <si>
    <t>Since December 2016, last amended in April 2022</t>
  </si>
  <si>
    <t>https://gnumner.minfin.am/website/images/original/0d2dc151.docx</t>
  </si>
  <si>
    <t xml:space="preserve">Specific requirements on source codes, encryption and trade secrets </t>
  </si>
  <si>
    <t>Since 2016, the law regulates the procurement process for government contracts. As per the amendment of 2022, the are no specific measures or requirements regarding using specific encryption in order to win tenders. 
Article 34 concerns evaluation of bids, providing that bids are evaluated based on the criteria outlined in the invitation. Bids that meet the conditions are considered satisfactory; those that do not are unsatisfactory and rejected. The selected bidder is determined by either:
(1) Choosing the lowest price proposal among satisfactory bids, or
(2) Using a method that combines the total score from the price proposal and non-price criteria. Non-price criteria must relate to the contract subject, and their relative weights are detailed in the invitation.</t>
  </si>
  <si>
    <t>Limitations in procurement bidding</t>
  </si>
  <si>
    <t>Since 2016, the law regulates the procurement process for government contracts. As per the amendment of 2022, local companies are given preferential treatment, restricting foreign participation in certain strategic sectors.
Article 15 of Armenia’s Law on Procurement provides the framework for preferential treatment in procurement for local entities. According to the law, domestic suppliers may receive advantages in procurement procedures to support local business involvement, particularly when it aligns with public policy objectives. Specifically, the law allows procurement processes to be structured in a way that prioritizes or offers additional points to local suppliers, under certain conditions prescribed by the Armenian government​.</t>
  </si>
  <si>
    <t>Not in the WTO Government Procurement Agreement (GPA) and not fully covered the three most relevant services sectors (CPC752, 754, 84)</t>
  </si>
  <si>
    <t xml:space="preserve">A signatory of the WTO GPA AND covered CPC 752 </t>
  </si>
  <si>
    <t xml:space="preserve">Armenia became a Member of the WTO Agreement on Government Procurement (GPA) on 15 September 2011, being the first WTO Member of the CEECAC region to join. Subsequent to the re-negotiation of the GPA, Armenia submitted its instrument of acceptance of the Protocol Amending the Agreement on Government Procurement on 7 May 2015, and the revised Agreement entered into force in Armenia on 6 June 2015. 
Regarding Annex 5 (Services), Armenia has covered the United Nations Provisional Central Product Classification (CPC Prov.) 752 Telecommunication Services as contained in document MTN.GNS/W/120. However, CPC 754 and CPC 84 are not covered. </t>
  </si>
  <si>
    <t xml:space="preserve">Since September 2011
</t>
  </si>
  <si>
    <t>https://www.wto.org/english/tratop_e/gproc_e/memobs_e.htm;
https://e-gpa.wto.org/en/GPACoverage/Annex5/5</t>
  </si>
  <si>
    <t>Foreign equity limits in sectors relevant to digital trade 
Exception: Not cover foreign equity cap in telecom sector (covered under Pillar 5) and e-commerce sector (covered under Pillar 12)</t>
  </si>
  <si>
    <t>Law on Foreign Investments 1994</t>
  </si>
  <si>
    <t xml:space="preserve">Since 1994, the law provides a general framework for foreign investments in Armenia, offering national treatment to foreign investors. As per the amendment of 2007, there are no measures regarding limitations on foreign equity relevant digital goods and services. The legislation of the Republic of Armenia may define those areas of the Republic of Armenia, wherein the activities of foreign investors and enterprises with foreign investment are limited or prohibited due to requirements of national security (Article 6). </t>
  </si>
  <si>
    <t>Since June 1994, last amended in July 2020</t>
  </si>
  <si>
    <t>https://www.mfa.am/filemanager/Statics/36_en.pdf</t>
  </si>
  <si>
    <t>Joint venture requirements</t>
  </si>
  <si>
    <t>Law on the Protection of Economic Competition 2001</t>
  </si>
  <si>
    <t>Since 2000, this law ensures fair competition in the market. It prohibits anti-competitive practices. For foreign entities, the law applies equally, but large foreign firms may face scrutiny to prevent market dominance.
The law does not specifically govern joint ventures. Currently, there is no specific regulation provide for a joint venture as an independent legal entity.</t>
  </si>
  <si>
    <t>Since September 2001</t>
  </si>
  <si>
    <t>https://aipo.am/en/pages/show/TMPP#:~:text=Law%20of%20the%20Republic%20of%20Armenia%20on%20Protection%20of%20Economic%20Competition,-Laws&amp;text=This%20Law%20regulates%20the%20economic,utility%20model%20and%20industrial%20design.</t>
  </si>
  <si>
    <t>Nationality or residency requirements for board of directors or managers</t>
  </si>
  <si>
    <t>Armenia's Law on Foreign Investments does not impose nationality or residency requirements for members of the board of directors or managers of companies with foreign investments. Foreign investors are permitted to establish and manage enterprises in Armenia without the obligation to appoint Armenian nationals or residents to these positions. This approach aligns with Armenia's commitment to providing a favorable investment climate for foreign entities.</t>
  </si>
  <si>
    <t>https://www.arlis.am/DocumentView.aspx?DocID=173482#:~:text=Making%20foreign%20investments%20by%20established,of%20the%20Republic%20of%20Armenia.&amp;text=Foreign%20investments%20shall%20be%20appraised,the%20foreign%20investor%20so%20wishes.</t>
  </si>
  <si>
    <t xml:space="preserve">Screening of investment and acquisitions
Exception: Anti-trust measures related to M&amp;A are not considered a restriction, unless discriminatory. </t>
  </si>
  <si>
    <t>Since 1994, the law provides a general framework for foreign investments in Armenia, offering national treatment to foreign investors. As per the amendment of 2020, certain sectors are subject to screening and approval processes based on national security concerns. 
Article 7 specifies that foreign investments may be subject to restrictions or prohibitions in sectors related to national security, defense, and public order. It states that the Government of the Republic of Armenia may determine specific areas where foreign investments are limited or prohibited to protect national interests.
Article 8 requires foreign investors to comply with Armenian laws and regulations, including those pertaining to environmental protection, public health, and safety standards. It emphasizes that foreign investments must not contravene the legal framework of the Republic of Armenia.
Armenia's Law on Foreign Investments does not explicitly mandate a formal screening process for foreign investments and acquisitions. However, there is a One-Stop Shop system established by ISC (Investment Support Center) in place that helps regulate the investment process for foreign entities.</t>
  </si>
  <si>
    <t>https://www.arlis.am/</t>
  </si>
  <si>
    <t>Commercial presence requirements to offer cross-border services in sectors relevant to digital trade</t>
  </si>
  <si>
    <t>Law on Electronic Commerce 2016</t>
  </si>
  <si>
    <t>Since 2016, this law regulates online sales and transactions, including consumer protection and payment processing. Foreign e-commerce platforms can operate with minimal restrictions, provided they comply with local consumer laws. There are no specific commercial presence requirements in order to offer cross-border services relevant to digital trade or any ICT sectors.</t>
  </si>
  <si>
    <t>Since December 2016, last amended in May 2020</t>
  </si>
  <si>
    <t>https://www.arlis.am/,</t>
  </si>
  <si>
    <t>https://www.trade.gov/country-commercial-guides/armenia-ecommerce</t>
  </si>
  <si>
    <t>Patent application issues</t>
  </si>
  <si>
    <t>Law on Patents 1999</t>
  </si>
  <si>
    <t>Since 1999, the law regulates patent registration and protection, allowing both local and foreign inventors to secure patents. There are no major restrictions on foreign companies. Article 6 prescribes Rights of foreigners that in accordance with international agreements or on the principle of reciprocity, foreign individuals and organizations enjoy the rights provided for by this law and bear responsibility on an equal footing with the citizens and organizations of the Republic of Armenia.
However, Article 40 prescribes the requirements submitted to the application. The application shall include documents, for example, an application for obtaining a license; description of the invention; the definition of the claim of the invention; drawings and other materials; and a brief description of the invention. Attached to the application are:
1) power of attorney, if it was submitted through a patent attorney or representative, unless otherwise provided by law;
2) Armenian translation of application documents
3) the document confirming the payment of the state duty established by law, and if the state duty was paid at a reduced rate, also a document confirming the grounds for payment at the reduced rate as of the date of payment of the state duty.
Moreover, Article 80 (Representation of foreign persons) prescribes that foreign natural persons and organizations that do not have a permanent place of residence or a real and operating industrial or commercial establishment in the territory of the Republic of Armenia (hereinafter referred to as "foreign persons"), conduct matters related to the acquisition and protection of their rights in the state authorized body through a representative.</t>
  </si>
  <si>
    <t xml:space="preserve">Since December 1999, last amended in June 2021
</t>
  </si>
  <si>
    <t>https://aipo.am/hy/pages/show/patentlaw</t>
  </si>
  <si>
    <t>0,139</t>
  </si>
  <si>
    <t>Patent enforcement issues: civil and administrative procedures and remedies, provisional and other measures</t>
  </si>
  <si>
    <t>Since 1999, the law regulates patent registration and protection, allowing both local and foreign inventors to secure patents. There are no major restrictions on foreign companies.
Article 17 addresses the unauthorized use of patented industrial property, defining it as an infringement. When infringement occurs, the patent owner or, if permitted by contract, an exclusive or non-exclusive licensee, can demand the cessation of the infringing activity. The infringer is also required to compensate the patent owner for any resulting losses, following Armenian legislation.
Article 25 allows any person to lodge an appeal against the grant of a patent during the universal disclosure period of the patent application. Appeals must be reasoned and submitted within a four-month timeframe after the official publication of the patent application. Upon receiving an appeal, the Office sends a copy to the applicant and requests any relevant comments. The procedural aspects of filing, lodging, and reviewing appeals are defined by the Office.
Article 36 addresses the "Responsibility for Infringement of the Rights of the Creators of Inventions, Utility Models, and Industrial Designs." This article describes the penalties and responsibilities for those who unlawfully disclose or usurp inventors' rights before official publication, outlining provisional measures that protect the confidentiality and rights associated with the patent application process.
These articles collectively establish a framework for the enforcement of patent rights in Armenia, providing patent holders with legal avenues to protect their inventions and seek remedies against infringement.</t>
  </si>
  <si>
    <t>Since 1999, the law regulates patent registration and protection, allowing both local and foreign inventors to secure patents. There are no major restrictions on foreign companies. In particular, Article 6 concerning rights of foreigners, provides that foreign individuals and organizations enjoy the rights provided for by this law and bear responsibility on an equal footing with the citizens and organizations of the Republic of Armenia.
Article 17 addresses the unauthorized use of patented industrial property, defining it as an infringement. When infringement occurs, the patent owner or, if permitted by contract, an exclusive or non-exclusive licensee, can demand the cessation of the infringing activity. The infringer is also required to compensate the patent owner for any resulting losses, following Armenian legislation.
Article 25 allows any person to lodge an appeal against the grant of a patent during the universal disclosure period of the patent application. Appeals must be reasoned and submitted within a four-month timeframe after the official publication of the patent application. Upon receiving an appeal, the Office sends a copy to the applicant and requests any relevant comments. The procedural aspects of filing, lodging, and reviewing appeals are defined by the Office.
Article 36 addresses the "Responsibility for Infringement of the Rights of the Creators of Inventions, Utility Models, and Industrial Designs." This article describes the penalties and responsibilities for those who unlawfully disclose or usurp inventors' rights before official publication, outlining provisional measures that protect the confidentiality and rights associated with the patent application process
These articles collectively establish a framework for the enforcement of patent rights in Armenia, providing patent holders with legal avenues to protect their inventions and seek remedies against infringement.</t>
  </si>
  <si>
    <t>Not in the WIPO Copyright Treaty (WCT)</t>
  </si>
  <si>
    <t>Participation to the Patent Cooperation Treaty</t>
  </si>
  <si>
    <t>Since December 1991</t>
  </si>
  <si>
    <t>https://www.wipo.int/pct/en/pct_contracting_states.html</t>
  </si>
  <si>
    <t>Lack of copyright framework and exceptions</t>
  </si>
  <si>
    <t>Law on Copyright and Related Rights 2006</t>
  </si>
  <si>
    <t>Since 2006, the law provides copyright protection for both local and foreign entities, aligning with international treaties like the Berne Convention. While Armenia’s Law on Copyright and Related Rights (2006) does not specifically use the terms fair use or fair dealing, the exceptions provided in Articles 22-26 closely follow the general principles of fair dealing, particularly in non-commercial, educational, research, and public information contexts. For instance, in particular, Article 22 (Free use of a work) states that free use of a work shall mean the use of a work without the consent of the author and without remuneration, however with the obligatory mention of the author's name and the origin of the work, which does not prejudice the normal exploitation of the work and legitimate interests of the author to his work. The free uses shall be permitted, such as the use of works of literature and art lawfully made public and extracts thereof by illustration in the publications of educational nature. The law balances the protection of copyright holders with the public's interest in using works for specific, limited purposes.</t>
  </si>
  <si>
    <t xml:space="preserve">Since November 2006, last amended in September 2013
</t>
  </si>
  <si>
    <t>https://old.aipa.am/en/Copyrightlaw/</t>
  </si>
  <si>
    <t>Online copyright enforcement issues: civil and administrative procedures and remedies; and provisional measures</t>
  </si>
  <si>
    <t xml:space="preserve">Since 2006, the law provides copyright protection for both local and foreign entities, aligning with international treaties like the Berne Convention. The law is enforced adequately, although online copyright violations remain a challenge. Chapter 5 stipulates protection of copyright and related rights. Specifically, Articles 66 to 69 provide a strong legal basis for enforcing copyright online through civil and administrative procedures, remedies, and provisional measures. 
These articles allow the copyright holder to request information from any parties involved in the infringement. The court may take remedies for ensuring the claim based on the petition from the persons participating in the case, or at its own discretion, to freeze all alleged counterfeited copies of works. </t>
  </si>
  <si>
    <t>Participation to the WIPO Copyright Treaty</t>
  </si>
  <si>
    <t>Participation to the WIPO Copyright Treaty.</t>
  </si>
  <si>
    <t>Since March 2005</t>
  </si>
  <si>
    <t>https://wipolex.wipo.int/en/treaties/ShowResults?search_what=C&amp;treaty_id=16</t>
  </si>
  <si>
    <t>Not in the WIPO Performances and Phonographs Treaty (WPPT)</t>
  </si>
  <si>
    <t>Participation to the WIPO Performances and Phonograms Treaty</t>
  </si>
  <si>
    <t>Participation to the WIPO Performances and Phonograms Treaty.</t>
  </si>
  <si>
    <t>Since May 2005</t>
  </si>
  <si>
    <t>https://wipolex.wipo.int/en/treaties/ShowResults?search_what=C&amp;treaty_id=20</t>
  </si>
  <si>
    <t>Mandatory disclosure of trade secrets, such as source code and algorithms</t>
  </si>
  <si>
    <t>Law on Trade and Services 2004</t>
  </si>
  <si>
    <t>Since 2004, this law defines trade secrets and outlines their protection. Article 9 of the law specifies that trade secrets must not be disclosed without the consent of the owner, except under legally prescribed cases, such as criminal investigations or regulatory compliance requirements.</t>
  </si>
  <si>
    <t>Since May 2004</t>
  </si>
  <si>
    <t>https://leap.unep.org/en/countries/am/national-legislation/law-trade-and-services</t>
  </si>
  <si>
    <t>Since 2001, the law ensures that information classified as a trade secret, including technical data like source code and algorithms, cannot be disclosed unless there is an antitrust investigation. Even then, the information can only be disclosed to government bodies or courts under strict confidentiality measures.
Article 6 specifically covers the confidentiality of trade secrets in competitive business practices.</t>
  </si>
  <si>
    <t>Lack of effective trade secrets legal framework</t>
  </si>
  <si>
    <t>Civil Code of Armenia 1998</t>
  </si>
  <si>
    <t xml:space="preserve">The Civil Code provides the fundamental legal basis for the protection of trade secrets in Armenia. It defines trade secrets as confidential information that has commercial value because it is secret and not publicly known. Unauthorized use, disclosure, or acquisition of this information by third parties without consent is prohibited under the law.
Article 141 of the Civil Code emphasizes the confidentiality of trade secrets and provides for remedies in case of unauthorized disclosure.
</t>
  </si>
  <si>
    <t>Since July 28, 1998</t>
  </si>
  <si>
    <t>https://www.wipo.int/wipolex/en/legislation/details/7429</t>
  </si>
  <si>
    <t>Article 9 specifically addresses the protection of trade secrets in commercial activities. It prohibits the unauthorized disclosure of trade secrets, including source codes, algorithms, and proprietary business information.
The law also outlines penalties for violations, although enforcement may be difficult in certain cases.</t>
  </si>
  <si>
    <t xml:space="preserve">Since 2001, the law provides additional protection by prohibiting the use of trade secrets in unfair competition practices. It specifically guards against the misuse of confidential information in business settings, including the unauthorized use of trade secrets by competitors. 
Article 16 of this law establishes a clear prohibition on the disclosure of trade secrets obtained through improper means. In the context of this Article, technical, organizational or commercial data, including production secrets (know-how), shall be deemed as undisclosed.
</t>
  </si>
  <si>
    <t>Absence of passive infrastructure sharing</t>
  </si>
  <si>
    <t>Law on Electronic Communications 2005</t>
  </si>
  <si>
    <t xml:space="preserve">Armenia's Law on Electronic Communications, adopted in 2005, Article 39 (Co-location) is a part of the Chapter 6 (Interconnection) requires that an operator shall be obliged to ensure, upon reasonable rates and conditions, the co-location by any other operator or service provider of such equipment that are needed for interconnection with, or access to its public electronic communications network within the premises of the operator. The operator may provide virtual co-location if it proves that their co-location is not practically feasible for technical reasons or due to space limitations. This includes providing physical space, power, lighting, and connections. If physical co-location isn’t feasible, virtual co-location must be offered. Operators are also required to share essential infrastructure, facilities, and information needed by other providers to deliver their services, promoting efficient network sharing and competition.
However, the Article 39 (Co-location) is a part of the Chapter 6 (Interconnection) of the Law on Electronic Communications, and therefore, it relates to passive infrastructure sharing only in the context of interconnection of public electronic communication networks of operators, and not in general.
Moreover, it promotes fair competition and the efficient use of resources, which indirectly supports infrastructure sharing practices. Key articles, including Article 1 and Article 4, outline objectives to foster open competition and manage resources effectively.
In practice, passive infrastructure sharing does occur within Armenia's telecommunications market, as operators, like Viva-MTS, sometimes collaborate to share infrastructure to cut costs and improve network coverage.
</t>
  </si>
  <si>
    <t>Since July 2005, last amended in June 2021</t>
  </si>
  <si>
    <t>https://www.arlis.am/Annexes/4/elektr_com_en.pdf</t>
  </si>
  <si>
    <t>0,220</t>
  </si>
  <si>
    <t>Foreign equity limits in telecom sector</t>
  </si>
  <si>
    <t>Armenia's Law on Electronic Communications does not impose specific foreign equity limits in the telecommunications sector. The law promotes fair competition and efficient use of resources without restricting foreign ownership. This open approach allows foreign investors to fully own and operate telecommunications businesses in Armenia, fostering a competitive and diverse market environment. 
Specifically, Article 10 (Procedure for appying a license and authorisation) provides that the Regulator may not refuse an applicant qualified for granting a licence or authorisation solely on the ground that the latter is wholly or partially owned by a national of a foreign state or by an undertaking created under the laws of a foreign state.</t>
  </si>
  <si>
    <t>Shares owned by the Government in telecom companies</t>
  </si>
  <si>
    <t>Viva Armenia CJSC</t>
  </si>
  <si>
    <t>Currently, the Government owns 20 % of direct shares in a mobile communication network operator “Viva Armenia”CJSC.</t>
  </si>
  <si>
    <t>Last reviewed in May 2025</t>
  </si>
  <si>
    <t>https://www.viva.am/en/about-us/viva-to-armenia/our-history</t>
  </si>
  <si>
    <t>Since 2005, this law regulates telecommunications services. The country underwent significant privatization of the telecom sector, which means that the major telecommunications operators are privately owned or have international ownership.</t>
  </si>
  <si>
    <t>Lack of functional/accounting separation</t>
  </si>
  <si>
    <t>Since 2005, this law regulates telecommunications services.
Article 24 (Safeguards) of the Law on Electronic Communications stipulates that the PSRC may establish rules of competitive safeguard, which require a dominant operator or dominant service provider:
- to provide competitive public electronic communications services only through one or more fully separated subsidiaries or affiliates,
- to implement structural separations between its dominant operations and its competitive operations.
Article 31 mandates that operators with significant market power maintain separate accounts for different services or activities. The purpose is to prevent cross-subsidization and ensure transparency in financial reporting. By doing so, it promotes fair competition and allows regulatory authorities to monitor compliance effectively.
Armenia's Law on Electronic Communications does not explicitly mandate functional separation for operators with significant market power.</t>
  </si>
  <si>
    <t>Licensing requirements in telecom sector for operators</t>
  </si>
  <si>
    <t>In Armenia, telecom operators with Significant Market Power (SMP) are subject to certain regulatory requirements, but the licensing regime for such operators is not as strict or specific as in some other jurisdictions. The legal framework does not mandate additional licensing requirements explicitly for SMP operators, but it does provide mechanisms for special regulation and oversight to prevent anti-competitive behavior. The Law on Electronic Communications 2005 is the main legal framework governing telecommunications in Armenia. It grants authority to the Public Services Regulatory Commission (PSRC) to regulate telecom operators and ensure fair competition.
Section 2 regulates licenses. No person shall be entitled to hold and operate a public electronic communications network in the Republic of Armenia unless that person holds a network licence granted under this Section and under the complex licensing procedures as provided for by the Law of the Republic of Armenia “On licensing” (Article 15). Article 16 prescribes procedure for issuing a network license. Aplicants meet certain technical and financial qualifications, aligning the process with national objectives around electronic communications. Moreover, Article 22 of the law specifies that telecom operators, including those with significant market power, require licenses to operate. However, the law does not impose special licensing requirements for operators based solely on their SMP status. Instead, the PSRC may impose additional regulatory measures on SMP operators to prevent anti-competitive behavior.</t>
  </si>
  <si>
    <t>Law on Licnesing 2001</t>
  </si>
  <si>
    <t xml:space="preserve">This Law shall specify types of activities, including telecommuications sector, subject to licensing and regulate the relations connected to the licensing (Articles 1 and 43). Moreover, Article 10 prescribes licensing procedures.
</t>
  </si>
  <si>
    <t>Since May 2001, last amended in July 2001</t>
  </si>
  <si>
    <t>http://www.parliament.am/law_docs/270601HO193eng.pdf?lang=eng</t>
  </si>
  <si>
    <t>Not in the WTO Telecom Reference Paper</t>
  </si>
  <si>
    <t>Commitment to the WTO Telecom Reference Paper</t>
  </si>
  <si>
    <t>Armenia committed to the Reference Paper when it became a member of the WTO in February 2003, agreeing to abide by its principles for the liberalization and regulation of the telecommunications sector. This commitment was part of Armenia's broader schedule of commitments in services, aimed at opening up its telecommunications market to foreign competition and ensuring a regulatory framework that supports fair competition, transparency, and non-discriminatory practices.</t>
  </si>
  <si>
    <t>Since February 2003</t>
  </si>
  <si>
    <t>https://erranet.org/member/psrc-armenia/</t>
  </si>
  <si>
    <t>Lack of independent telecom authority</t>
  </si>
  <si>
    <t xml:space="preserve">Article 6 of the law establishes the Public Services Regulatory Commission (PSRC) as the independent regulatory body responsible for overseeing the telecommunications sector, including the issuance of licenses, enforcement of competition rules, and ensuring consumer protection. The law emphasizes the PSRC’s functional independence from telecom operators and the government, stating that it should operate impartially and transparently. Additionally, Article 5 prescribes functions of the PSRC. 
</t>
  </si>
  <si>
    <t>Law on Public Services Regulatory Commission 2004</t>
  </si>
  <si>
    <t xml:space="preserve">Since 2004, the law outlines the structure and operational independence of the PSRC. It stipulates that the Commission should function independently, free from political pressure, and its decisions should be based on objective criteria related to market fairness and public interest. Article 6.1 prescribes that Regulation in the Public Utility Sector shall be carried out by the Public Service Regulatory Commission of the Republic of Armenia (PSRC) (hereafter referred to as the “Commission”), acting independently within the jurisdiction vested in it by this Law, the branch-specific laws and other laws.
The Law on Public Services Regulatory Body was significantly amended (updated) in 2021, and the corresponding legal provisions related to an independent telecom regulatory authority are set forth in the Articles 2 – 6 of the mentioned Law. </t>
  </si>
  <si>
    <t>Since January 2004</t>
  </si>
  <si>
    <t>https://www.ecolex.org/details/legislation/law-of-the-republic-of-armenia-on-the-regulatory-body-for-public-services-lex-faoc067099/</t>
  </si>
  <si>
    <r>
      <t xml:space="preserve">Ban and local processing requirements
</t>
    </r>
    <r>
      <rPr>
        <b/>
        <sz val="9"/>
        <color rgb="FF000000"/>
        <rFont val="Arial"/>
        <family val="2"/>
      </rPr>
      <t xml:space="preserve">Exception: </t>
    </r>
    <r>
      <rPr>
        <sz val="9"/>
        <color rgb="FF000000"/>
        <rFont val="Arial"/>
        <family val="2"/>
      </rPr>
      <t>Not score data localization measure applied to government data.</t>
    </r>
  </si>
  <si>
    <t>Law on Protection of Personal Data 2015</t>
  </si>
  <si>
    <t>There is no local processing requirement or ban on data trasnfer implemented. Article 26 (Transfer of Personal Data to Third Parties): This article addresses conditions under which personal data may be transferred to third parties, outlining the necessity of an "adequate level of protection" for such transfers and requiring specific legal grounds. However, it does not explicitly ban or restrict local processing.
Article 27 provides that personal data can be transferred to other countries with the data subject's consent or when necessary for processing purposes. Transfers to countries with adequate protection do not require authorization, while those to countries lacking adequate protection need permission from the authorized body, based on an agreement with sufficient safeguards. The authorized body must respond to requests within 30 days and is responsible for regularly updating the list of countries ensuring adequate protection. Transfers of state-held personal data to foreign entities are limited to interstate agreements, whereas non-state transfers must comply with this article's provisions.</t>
  </si>
  <si>
    <t>Since May 2015, last amended in March 2022</t>
  </si>
  <si>
    <t>https://www.moj.am/storage/uploads/Personal_data_protection_law_ENG_OFFICIAL.pdf</t>
  </si>
  <si>
    <t>0,192</t>
  </si>
  <si>
    <t>There is no local storage requirement implemented. Article 26 (Transfer of Personal Data to Third Parties): This article addresses conditions under which personal data may be transferred to third parties, outlining the necessity of an "adequate level of protection" for such transfers and requiring specific legal grounds. However, it does not explicitly ban or restrict local processing.
Article 27 provides that personal data can be transferred to other countries with the data subject's consent or when necessary for processing purposes. Transfers to countries with adequate protection do not require authorization, while those to countries lacking adequate protection need permission from the authorized body, based on an agreement with sufficient safeguards. The authorized body must respond to requests within 30 days and is responsible for regularly updating the list of countries ensuring adequate protection. Transfers of state-held personal data to foreign entities are limited to interstate agreements, whereas non-state transfers must comply with this article's provisions.</t>
  </si>
  <si>
    <t xml:space="preserve">Armenia does no implement local storage requirement. </t>
  </si>
  <si>
    <r>
      <t xml:space="preserve">Infrastructure requirements
</t>
    </r>
    <r>
      <rPr>
        <b/>
        <sz val="9"/>
        <color rgb="FF000000"/>
        <rFont val="Arial"/>
        <family val="2"/>
      </rPr>
      <t xml:space="preserve">Exception: </t>
    </r>
    <r>
      <rPr>
        <sz val="9"/>
        <color rgb="FF000000"/>
        <rFont val="Arial"/>
        <family val="2"/>
      </rPr>
      <t>Not score data localization measure applied to government data.</t>
    </r>
  </si>
  <si>
    <t xml:space="preserve">Armenia does no implement infrastructure requirement. </t>
  </si>
  <si>
    <r>
      <t xml:space="preserve">Conditional flow regimes
</t>
    </r>
    <r>
      <rPr>
        <b/>
        <sz val="9"/>
        <color rgb="FF000000"/>
        <rFont val="Arial"/>
        <family val="2"/>
      </rPr>
      <t xml:space="preserve">Exception: </t>
    </r>
    <r>
      <rPr>
        <sz val="9"/>
        <color rgb="FF000000"/>
        <rFont val="Arial"/>
        <family val="2"/>
      </rPr>
      <t>Not score data localization measure applied to government data.</t>
    </r>
  </si>
  <si>
    <t>Since 2015, this law has regulated the processing and transfer of personal data. As per the amendment of 2020, cross-border transfers are allowed under specific conditions such as obtaining user consent. Chapter 4 prescribes the requirements to transfer of personal data to third parties and other states (Articles 26 and 27).
Specifically, under Article 26, processors may transfer personal data to third parties without the data subject's consent if permitted by law and with adequate protection. Special category personal data can be transferred without consent in specific cases, such as when mandated by law or for protecting the data subject's life, health, or freedom.
Article 27 provides that personal data can be transferred to other countries with the data subject's consent or when necessary for processing purposes. Transfers to countries with adequate protection do not require authorization, while those to countries lacking adequate protection need permission from the authorized body, based on an agreement with sufficient safeguards. The authorized body must respond to requests within 30 days and is responsible for regularly updating the list of countries ensuring adequate protection. Transfers of state-held personal data to foreign entities are limited to interstate agreements, whereas non-state transfers must comply with this article's provisions.</t>
  </si>
  <si>
    <t>Not in an agreement with binding commitments on data transfer.</t>
  </si>
  <si>
    <t>Trade and Market Regulation Ministry of Economy of the Republic of Armenia</t>
  </si>
  <si>
    <t>Lack of participation in agreements with binding commitments on data flows.</t>
  </si>
  <si>
    <t>https://www.mineconomy.am/en/page/85</t>
  </si>
  <si>
    <t>Lack of comprehensive legal framework for data protection</t>
  </si>
  <si>
    <t xml:space="preserve">Since 2015, this law provides a comprehensive framework for data protection, requiring all businesses (including foreign ones) to comply with data protection standards. Article 1.1 states that This Law shall regulate the procedure and conditions for processing personal data, exercising state control over them by state administration or local self-government bodies, state or community institutions or organisations, legal or natural persons. 
The basic principles and respoinsibilities for processing personal data, data flows, rights of data subject, and responsibilities of processor of personl data have been prescribed (see Chapters 2,3,4 and 5). </t>
  </si>
  <si>
    <t>0,156</t>
  </si>
  <si>
    <t>The law governs telecommunications and contains some provisions related to data security and privacy, especially in the telecom sector. However, it does not provide detailed data protection measures comparable to comprehensive frameworks like the GDPR.
Article 49 requires operators and service providers to protect personal data collected during the provision of electronic communications services. It stipulates that personal data must be processed lawfully and only for specified purposes, with appropriate security measures in place to prevent unauthorized access or disclosure.
Article 50 mandates that operators and service providers ensure the confidentiality of communications and related data. It prohibits the interception, recording, or disclosure of communications without the consent of the user, except as provided by law.</t>
  </si>
  <si>
    <r>
      <t xml:space="preserve">Minimum period of data retention requirements
</t>
    </r>
    <r>
      <rPr>
        <b/>
        <sz val="9"/>
        <color rgb="FF000000"/>
        <rFont val="Arial"/>
        <family val="2"/>
      </rPr>
      <t xml:space="preserve">Exception: </t>
    </r>
    <r>
      <rPr>
        <sz val="9"/>
        <color rgb="FF000000"/>
        <rFont val="Arial"/>
        <family val="2"/>
      </rPr>
      <t>Not score requirement applied to government data.</t>
    </r>
  </si>
  <si>
    <t xml:space="preserve">Article 7 of Armenia's Law on Protection of Personal Data specifies the principles regarding data retention. It states that personal data should not be stored longer than necessary for the purposes for which it was collected or processed. Once the data’s purpose has been fulfilled, it should be deleted or anonymized, ensuring that unnecessary personal data is not retained indefinitely.
</t>
  </si>
  <si>
    <t>Data Protection Impact Assessment (DPIA) or Data Protection Officer (DPO) requirements</t>
  </si>
  <si>
    <t xml:space="preserve">Armenia’s Law on Personal Data Protection (2015, amended 2020) does not currently mandate specific requirements for conducting Data Protection Impact Assessments (DPIAs) or appointing Data Protection Officers (DPOs), as is commonly seen in more comprehensive data protection frameworks like the EU's General Data Protection Regulation (GDPR).
</t>
  </si>
  <si>
    <t>Requirements to allow government access to personal data</t>
  </si>
  <si>
    <t xml:space="preserve">Article 18 (Responsibilities of processor of personal data in the course of collecting personal data)  of this law allows for exceptions to the general rules of personal data protection when it comes to processing for purposes of state security, public order, or law enforcement. </t>
  </si>
  <si>
    <t>Article 50 (Interception, recording, or disclosure of messages) concerns Interception, recording, or disclosure of messages. Individuals who are not parties to an electronic communication may only intercept, record, or disclose its content if they have obtained written consent from the parties involved or a court order, as permitted by law. 
Additionally, operators of public or private electronic communications networks and service providers, along with their employees, may intercept or redirect messages solely as part of their official duties, but they are not permitted to disclose the content of these communications. In cases outlined by law, all operators and service providers are required to grant law enforcement and national security personnel access to their communications equipment, facilities, switches, routers, or other relevant equipment, including wiretapping devices.</t>
  </si>
  <si>
    <t>Criminal Procedure Code of the Republic of Armenia 2003</t>
  </si>
  <si>
    <t xml:space="preserve">According to Article 284 (Discussion procedure of appeals against operative-searching measures), operative-search measures that restrict individual privacy, like monitoring communications, require a court ruling unless one party consents. Authorization must come from a court within the district of the operative body or the district making the request. The operative body submits a decree explaining the need, expected data, location, and timeframe for the measures, along with supporting evidence. A judge reviews the appeal privately within 12 hours, often with only the requesting official present. The judge can request further evidence, but exceptions apply if this risks exposing sensitive information or individuals.
The court then approves or denies the request, providing reasons and returning the materials to the operative body. Authorization is valid for six months but can be extended if needed. In urgent situations, like terrorist threats, the operative body may act for 48 hours and notify the court. If the court finds the reasons insufficient, the operation is stopped, and collected data is destroyed; otherwise, the court authorizes continued action.
</t>
  </si>
  <si>
    <t>Since April 2003, last amended in January 2022</t>
  </si>
  <si>
    <t>http://www.parliament.am/law_docs/010998HO248eng.pdf?lang=eng</t>
  </si>
  <si>
    <t>Lack of safe harbour for copyright infringements</t>
  </si>
  <si>
    <t>Since 2006, the law governs copyright protection in Armenia, but it does not contain specific provisions for safe harbor protections similar to those in the DMCA or EU's e-Commerce Directive.</t>
  </si>
  <si>
    <t>https://www.uaipit.com/en/documents-record?/5773/law-of-the-republic-of-armenia-of-june-15-2006-on-copyright-and-related-rights-as-amended-on-september-30-2013 , https://mblegal.am/copyright-protection-in-armenia/</t>
  </si>
  <si>
    <t>0,500</t>
  </si>
  <si>
    <t>Export restrictions on ICTgoods and online services</t>
  </si>
  <si>
    <t>This law regulates telecommunication services and internet service providers (ISPs) in Armenia. 
In accordance with the Law on Electronic Communications, ISPs are considered as the providers of electronic communication services, while electronic communication services exclude services that provide or exercise editorial control over the content transmitted via electronic communications networks. Therefore, ISPs cannot be held liable for user-generated content deemed illegal under Armenian law.</t>
  </si>
  <si>
    <t>Since July 2005, last amended in August 2018</t>
  </si>
  <si>
    <t>User identify requirements</t>
  </si>
  <si>
    <t>The requirement for consumer identification in the provision of telecommunications services is addressed in Article 43.1.3 (Uninterrupted provision of services without discrimination) of Armenia's Law on Electronic Communications. This article, under Chapter 9 "Consumer Rights Protection," specifies that service providers may refuse to offer or continue retail services if the end-user fails to provide identification data of the connection point to the public communications network or an address enabling service provision.</t>
  </si>
  <si>
    <t xml:space="preserve">Law on Dissemination of Mass Information 2003 </t>
  </si>
  <si>
    <t>Article 11 (Submission of issue data) mandates that each media product issue include specific identifying details. These required details are:
- Media Product Name: The title under which the media is published.
- Publisher Information: For a legal entity, this includes the full name, type of legal organization, address, and registration details. If a natural person is responsible, their name, address, and registration details (if they are an individual entrepreneur) must be provided.
- Responsible Individual: The passport name of the person responsible for that specific issue of the media product.
Publication Date: Year, month, and day of the issue’s publication.
- Circulation Count: The total number of copies printed for that issue.
The article also allows for additional data to be included beyond these requirements. For television and radio broadcasts, issue data must follow Armenia's legislation on Television and Radio.</t>
  </si>
  <si>
    <t>Since December 2003, last amended in May 2022</t>
  </si>
  <si>
    <t>http://www.parliament.am/legislation.php?sel=show&amp;ID=1890&amp;lang=eng</t>
  </si>
  <si>
    <t>Monitoring requirements</t>
  </si>
  <si>
    <t>This law governs telecommunications and internet service providers (ISPs). While it does not directly address UGC (user generated content) monitoring, ISPs may be required to provide access to user data and communications to law enforcement agencies for national security or criminal investigations. This could include cases where user-generated content on platforms is deemed illegal, such as for hate speech, defamation, or fraud.
Article 5 (Functions of the regulator) allows the Regulator to regulate public electronic communications networks and services in accordance with this Law, and for that purpose shall establish record retention standards for regulated persons. The retention of data for the purposes of supporting law enforcement investigations, but it does not specify mandatory monitoring requirements for content created by users.
In accordance with the Law, providers of electronic communication services may not provide or exercise editorial control over the content transmitted via electronic communications networks. Therefore, providers of electronic communication services cannot be required to monitor the content created by users.</t>
  </si>
  <si>
    <t>Blocking or filtering commercial web content
Exception: Not score political content, criminal content (e.g., child pornography), aged-restricted content, defamation and other non-commercial content.</t>
  </si>
  <si>
    <t>Law on Television and Radio Broadcasting 2000</t>
  </si>
  <si>
    <t>There is no specific law or distinct online content regulatory framework exists in Armenia. Since 2001, this law regulates media and content access. As per the amendment of 2021, restrictions control politically sensitive content, affecting foreign platforms distributing such content.</t>
  </si>
  <si>
    <t>Since October 2000</t>
  </si>
  <si>
    <t>http://www.parliament.am/legislation.php?sel=show&amp;ID=1464&amp;lang=eng</t>
  </si>
  <si>
    <t>0,125</t>
  </si>
  <si>
    <t xml:space="preserve">This law empowers the Public Services Regulatory Commission (PSRC) to regulate and monitor telecommunications, including internet services. However, there is no specific provision in the Law on Electronic Communications explicitly address blocking or filtering of commercial content. 
</t>
  </si>
  <si>
    <t>Internet shutdowns</t>
  </si>
  <si>
    <t>V-Dem, variable v2smgovshut, "Government Internet shutdown in practice"</t>
  </si>
  <si>
    <t>Armenia’s laws do not explicitly mandate internet shutdowns, but provisions exist that allow the government to take extreme measures, including restricting or suspending telecommunications services, during emergencies related to national security, public safety, or criminal investigations. However, the government does not typically interfere with the domestic access to the Internet.
The indicator "6.2.4 -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3.93 in Armenia. This refers to when Internet shutdown is never or almost never.</t>
  </si>
  <si>
    <t>Reported in 2024</t>
  </si>
  <si>
    <t>https://www.v-dem.net/vdemds.html</t>
  </si>
  <si>
    <t>Article 6 of this law grants the Public Services Regulatory Commission (PSRC) and other relevant government authorities the power to regulate and control telecommunications services, including suspending or restricting services in cases where national security or public safety is at risk.</t>
  </si>
  <si>
    <r>
      <t xml:space="preserve">Online advertising requirements
</t>
    </r>
    <r>
      <rPr>
        <b/>
        <sz val="9"/>
        <color rgb="FF000000"/>
        <rFont val="Arial"/>
        <family val="2"/>
      </rPr>
      <t>Exception:</t>
    </r>
    <r>
      <rPr>
        <sz val="9"/>
        <color rgb="FF000000"/>
        <rFont val="Arial"/>
        <family val="2"/>
      </rPr>
      <t xml:space="preserve"> Not score requirements that advertising should not be misleading</t>
    </r>
  </si>
  <si>
    <t>Law on Advertising 1996</t>
  </si>
  <si>
    <t>Law on Advertising governs advertising activities in Armenia, including online advertising. It prohibits misleading advertising, which is defined as advertisements that contain false information or could deceive consumers regarding the quality, characteristics, price, or other aspects of goods and services.
Specifically, Article 8 (Appropriateness of advertising) provides that an advertisement is banned if it violates the appropriateness of advertising, namely: 1) if it discredits the conventional and national norms of morality; b) if it contains insulting phrases, comparisons and images with regard to the race, nationality, profession or social background, age group or sex, language, religious or other beliefs; c) if it directly or indirectly discredits state symbols (emblem, flag, hymn, currency notes, etc) or expresses disrespectful attitude towards them; d) if it discredits legal or physical entities, as well as the industrial, commercial or other activities, profession, assortment, etc.
Article 9 (Advertising in electronic media) prescribes specific restrictions on advertising in electronic media, setting limits on the frequency and duration of ads in radio and TV programs. It prohibits more than one ad break in radio programs shorter than 10 minutes and TV programs shorter than 20 minutes, while also requiring that ads are aired no more frequently than once every 20 minutes. Additionally, ads cannot exceed a total of 10 minutes per broadcasting hour. During official information broadcasts, ad breaks are completely banned. Social advertising, however, has no frequency limit but is restricted to 5 minutes per hour. These rules don’t apply to programs that are advertisements themselves or are aired on dedicated advertising channels.</t>
  </si>
  <si>
    <t>Since April 1996, last amended in June 2020</t>
  </si>
  <si>
    <t>http://www.parliament.am/legislation.php?sel=alpha&amp;lang=eng</t>
  </si>
  <si>
    <t>This law governs telecommunications services and infrastructure but does not explicitly cover licensing for online platforms like social media or VPN services. It primarily focuses on the regulation of telecommunications operators and service providers involved in communication networks. Under Article 2, “Internet service provider” refers to a a person that provides an Internet access service.</t>
  </si>
  <si>
    <t xml:space="preserve">This law regulates activities of television and radio broadcasting companies. However, there is no explicit mention of online content streaming within the law's provisions, indicating that this legislation may not directly apply to internet-based streaming services. 
Specifically, Article 47 (Licensing) establishes that a license is the sole legal authorization for broadcasting television and radio programs using specific frequencies, cable, or wire networks in Armenia. Broadcasting licenses are granted through a competitive process based on available frequency lists. The license allows the holder to enter into lease agreements with organizations that own telecommunication devices for broadcasting purposes. Additionally, the license is non-transferable; the licensed entity cannot sell or transfer the license to another entity.
Moreover, the application must include details such as the type of broadcasting (airing, cable, wire), the applicant's name and legal address, the content and specialization of the programs, the regularity and volume of broadcasts, the languages used, the coverage area and population size, information about other licenses held, technical facilities, financial sources, broadcast schedule, and preliminary details about staff (Article 49 application of the license, for furthur details, please see Article 50 describes the criteria for selecting licensees). 
</t>
  </si>
  <si>
    <t>Import ban applied to ICT goods and online services (e.g. network equipment, servers, handsets, applications, and data processing)</t>
  </si>
  <si>
    <t>The Single List of Goods to which Non-Tariff Regulation Measures are Applied in Trade with Third Countries (Decision of the Collegium of the Eurasian Economic Commission (EEC) No. 30 “On Measures of Non-Tariff Regulation”;
Decision of the Board of the Eurasian Economic Commission No.30 2015</t>
  </si>
  <si>
    <t xml:space="preserve">The list of goods subject to import and export prohibitions or restrictions in the Eurasian Economic Union, including Russia is determined by the Decision of the Board of Eurasian Economic Commission dating 2012. The decision of the Board of the Eurasian Economic Commission dated April 21, 2015 No. 30 “On non-tariff regulation measures” (hereinafter referred to as the Decision) established a ban on the import into the customs territory of the EAEU of goods included in section 1.3 “Information on printed, audiovisual and other media, prohibited for import and export" (Appendix No. 1 to the Decision). The Decision has been amended a few times since then. According to Section 1 of the so called "Single List" contained in the Decision, no prohibition exists on the import of digital goods, except for the prohibition of importation of the audiovisual materials and other information media containing information against the public morals, public order and security. Such information includes content promoting extremism or terrorism, pornographic materials, political and economic interests of the state, including national security, public health and morals of the citizens, among others.
</t>
  </si>
  <si>
    <t xml:space="preserve">Since August 2012
Since April 2015 
</t>
  </si>
  <si>
    <t>http://www.eurasiancommission.org/en/act/trade/catr/nontariff/Pages/ediny_perechen.aspx</t>
  </si>
  <si>
    <t>0,375</t>
  </si>
  <si>
    <t>Customs Code of the Republic of Armenia 2001</t>
  </si>
  <si>
    <t>Since 2001, this law governs the customs procedures and duties on imported goods, including ICT products. As part of the Eurasian Economic Union (EAEU), Armenia applies the EAEU common external tariff. These tariffs can create moderate barriers for foreign companies, particularly for importing ICT products, but do not present significant non-tariff barriers.
Article 102 outlines customs duty rates, which are 0% and 10% for imported goods. ICT products may fall under these rates depending on their classification.</t>
  </si>
  <si>
    <t>Since January 2001, last amended in April 2003</t>
  </si>
  <si>
    <t>http://www.parliament.am/law_docs/090800HO83eng.pdf</t>
  </si>
  <si>
    <t>Other import restrictions on ICT goods and online services</t>
  </si>
  <si>
    <t xml:space="preserve">The Single List of Goods to which Non-Tariff Regulation Measures are Applied in Trade with Third Countries (Decision of the Collegium of the Eurasian Economic Commission (EEC) No. 30 “On Measures of Non-Tariff Regulation” </t>
  </si>
  <si>
    <t xml:space="preserve">According to Decision of the Board of the Eurasian Economic Commission dated April 21, 2015 No. 30 “On non-tariff regulation measures” (hereinafter referred to as the Decision) established the permitting procedure for the import into the customs territory of the EAEU of goods (Appendix No. 2 to the Decision). The licensing procedures are applied to the importation of certain digital goods to the Eurasian Economic Union, including Russia. These digital goods are the following: (i) Civil radio-electronic equipment and/or high-frequency devices including those which are built-in or form a part of other goods; (ii) Special hardware meant for secret information acquisition; (iii) Encryption devices.
Specifically, 2.16 “Radio-electronic equipment and (or ) high-frequency devices for civil purposes, including those built-in or included in other goods,” the import of which into the customs territory of the EAEU is carried out in accordance with the Regulations on the import into the customs territory of the Eurasian Economic Union of radio-electronic devices and high-frequency devices for civil purposes, including built-in or included in other goods (Appendix No. 15 to the Decision) when submitting to the customs authority of a member state of the EAEU a license from the Ministry of Industry and Trade of Russia or a conclusion (permit document) of Roskomnadzor or information on the inclusion of radio-electronic equipment and high-frequency devices in the unified register of radio-electronic equipment and high-frequency devices; 
2.17 “Special technical means intended for secretly obtaining information”, the import of which into the customs territory of the EAEU is carried out in accordance with the Regulations on the import into the customs territory of the Eurasian Economic Union and export from the customs territory of the Eurasian Economic Union of special technical means intended for secretly obtaining information ( Appendix No. 16 to the Decision) when submitting to the customs authority a license from the Ministry of Industry and Trade of Russia and (or) a conclusion (permit document) from  Federal Security Service; 
2.19. “Encryption (cryptographic) means”, the import of which into the customs territory of the EAEU is carried out in accordance with the Regulations on the import into the customs territory of the Eurasian Economic Union and export from the customs territory of the Eurasian Economic Union of encryption (cryptographic) means (Appendix No. 9 to the Decision) upon presentation to the customs authority of a member state of the EAEU if there is information about the inclusion of the corresponding notification in the unified register of notifications or if there is a license from the Ministry of Industry and Trade of Russia and (or) a conclusion (permit document).
</t>
  </si>
  <si>
    <t xml:space="preserve">Since August 2012;
Since April 2015 
</t>
  </si>
  <si>
    <t xml:space="preserve">Local content requirements </t>
  </si>
  <si>
    <t>Armenia's public procurement system encourages the use of local suppliers, particularly for government contracts. While there is no formal local content mandate, public procurement laws provide a framework that can favor local businesses when bidding for government contracts, especially in sectors such as construction, infrastructure, and services.
The Law on Procurement (2010) requires that government contracts give consideration to local suppliers but does not mandate specific local content percentages for goods or services.</t>
  </si>
  <si>
    <t>Law on Control over Export of Dual-Use Goods, Arms, and Military Equipment 2009</t>
  </si>
  <si>
    <t xml:space="preserve">Armenia has no export licensing regime and does not impose blanket export restrictions on ICT goods and online services. However, certain restrictions apply based on national security, dual-use technologies, and compliance with international sanctions or export control regimes. These regulations primarily focus on dual-use goods (items that can be used for both civilian and military purposes), encryption technologies, and sensitive technologies that may affect national security. Article 9 (Basics of export of the controlled items and transmission of the
controlled intangible values) prescribes that export of the controlled items and transmission of the controlled intangible values is carried out in line with procedures. A person shall obtain a permission issued in line with procedures set forth in the current law.
</t>
  </si>
  <si>
    <t>Since April 2009</t>
  </si>
  <si>
    <t>https://www.vertic.org/media/National%20Legislation/Armenia/AM_Law_export_dual_use.pdf</t>
  </si>
  <si>
    <t>Lack of transparent technical standards</t>
  </si>
  <si>
    <t>Law on Standardization 1999</t>
  </si>
  <si>
    <t xml:space="preserve">Since 1999, this law governs the standardization of products and services in Armenia. ICT products must comply with national standards, which are typically aligned with international norms.
Article 5 highlights the principles guiding standardization, including transparency, openness, and consensus. It encourages the participation of all interested parties in the development of standards, without explicitly excluding foreign participants.
Article 7 establishes the National Institute of Standards as the authorized body responsible for standardization activities. It outlines the institute's functions, such as developing, approving, and disseminating standards, and coordinating with international standardization organizations. The article does not specify restrictions on foreign involvement in these processes.
</t>
  </si>
  <si>
    <t>Since March 1999, last amended in May 2012</t>
  </si>
  <si>
    <t>http://www.parliament.am/law_docs/031299HO18eng.pdf?lang=eng</t>
  </si>
  <si>
    <t>https://www.wto.org/english/thewto_e/acc_e/arm_e/wtaccarm14_leg_3.pdf</t>
  </si>
  <si>
    <t>0,150</t>
  </si>
  <si>
    <t>Self-certification limitations for product safety (radio transmissions, EMC/EMI)</t>
  </si>
  <si>
    <t>Law on Technical Regulation No.ZR-19 2012</t>
  </si>
  <si>
    <t>Law on Technical Regulation 2012 governs the certification and compliance of products with Armenian technical standards, including those related to radio transmissions and EMC/EMI. It requires that products that could pose a risk to public safety, national security, or the environment must undergo mandatory certification rather than relying solely on self-certification.
Article 8 specifies the need for products to meet national standards before being marketed in Armenia. It outlines the conditions under which products must be certified by authorized bodies, especially for categories where safety concerns are present, such as electronic devices emitting radio signals. SDoC can be used when regulations allow manufacturers or suppliers to declare that their products meet the specified standards without external verification.
Third-party certification may be required in cases where independent verification is necessary, particularly for higher-risk products or those affecting public health and safety.</t>
  </si>
  <si>
    <t>Since February 2012, last amended in March 2017</t>
  </si>
  <si>
    <t>https://cis-legislation.com/document.fwx?rgn=162217</t>
  </si>
  <si>
    <t>Eurasian Economic Union Treaty</t>
  </si>
  <si>
    <t xml:space="preserve">Section X (Technical Regulation) of the Eurasian Economic Union Treaty establishes the uniform technical standards, including the unity of the rules and methods of research (tests) and measurements during the mandatory conformity assessment procedures (Article 51(6)). Supplier’s Declaration of Conformity (SDoC) and related conformity assessment results including testing reports from one EAEU Member State must be recognized and accepted by all other Member States. 
Article 53(2) (Circulation of Products and Technical Regulations of the EAEU) of the Treaty stipulates that products that are subject to the enforced technical regulation of the EAEU can be put into the circulation at the territory of the EAEU, provided that it has passed the necessary conformity assessment procedures established under the technical regulation of the EAEU. Member States shall ensure circulation of products conforming to the requirements of the technical regulation of the EAEU on its territory without application of additional with regard to the technical regulation of the EAEU requirements to such products and without additional conformity assessment procedures.
Annex 9 to the Treaty "Protocol on Technical Regulation within the Eurasian Economic EAEU" prescribes that Conformity assessment of objects of technical regulating established in the technical regulation of the EAEU shall be made in form of registration (state registration), testing, confirmation of compliance, expertise and (or) in any other form. Mandatory conformity assessment is carried out in the form of declaration of conformity and certification. (Clause 5). Specifically, “Certificate of compliance with technical regulations of the EAEU” means the document by which the authority for certification certifies compliance of the products released for circulation with requirements of technical regulation of the EAEU (technical regulations of the EAEU). </t>
  </si>
  <si>
    <t>Since Janury 2015</t>
  </si>
  <si>
    <t>https://www.wto.org/english/thewto_e/acc_e/kaz_e/wtacckaz85_leg_1.pdf</t>
  </si>
  <si>
    <t>Product screening and testing requirements</t>
  </si>
  <si>
    <t xml:space="preserve">Law on Technical Regulation 2012 governs the technical regulation and standardization of products in Armenia. It outlines the process for ensuring that products comply with safety standards and the relevant technical requirements.
Article 8 of this law stipulates that products that may pose a risk to public safety, national security, or health must undergo mandatory screening and certification. Products like telecommunications equipment, electronic devices, and certain medical devices fall under this category.
Article 12 of this law allows for products to undergo conformity assessments and certification based on test results provided by accredited third-party laboratories. These results must be in accordance with the technical standards set by the law or relevant EAEU technical regulations.
</t>
  </si>
  <si>
    <t>Deviation from international encryption standards (ISO, IEC, ITU, FIPS, AES, TDES, and ECC)</t>
  </si>
  <si>
    <t>Advanced Encryption Standard (AES)</t>
  </si>
  <si>
    <t>The Advanced Encryption Standard (AES) is a widely adopted symmetric encryption algorithm used globally to secure electronic data. In Armenia, AES is implemented across various sectors to ensure data confidentiality and integrity.
Armenian government agencies and military institutions utilize AES to protect sensitive information. For instance, in July 2023, the Armenian company Zangi developed "ArtsakhX," a secure messaging application for Nagorno Karabakh. This application employs NATO-approved military-grade end-to-end AES-GSM-256 encryption to safeguard communications, even in scenarios involving internet disruptions or cyberattacks. 
Armenian financial institutions, including banks and payment processors, implement AES encryption to secure transactions and customer data. This practice aligns with international standards, ensuring that financial data remains protected from unauthorized access.
Telecommunications companies and internet service providers in Armenia incorporate AES encryption within their infrastructure to secure data transmission. This includes the use of AES in Virtual Private Networks (VPNs) to protect user privacy and data integrity. For example, VPN services recommended for use in Armenia, such as NordVPN and ExpressVPN, utilize AES-256 encryption to ensure secure connections. 
Armenia's legal framework supports the use of strong encryption standards like AES. According to a 2000 report by the Electronic Privacy Information Center and the Global Internet Liberty Campaign, Armenia was categorized as having minimal to some restrictions on the import of cryptography, indicating a relatively open stance toward encryption technologies. 
AES encryption is integral to Armenia's efforts to protect sensitive information across various sectors, including government, finance, and telecommunications. The country's legal environment supports the use of robust encryption standards, facilitating the secure handling of electronic data. 
Note that there is no official source, nor is there any law/measure/policy that would require the use of AES.</t>
  </si>
  <si>
    <t>Since 2001</t>
  </si>
  <si>
    <t>https://nvlpubs.nist.gov/nistpubs/ir/2021/NIST.IR.8319.pdf</t>
  </si>
  <si>
    <t>Foreign equity limits in e-commerce sector</t>
  </si>
  <si>
    <t>This law provides the legal framework for foreign investments in Armenia, including the right to full foreign ownership in most sectors. The law guarantees foreign investors the same rights as local investors, allowing them to invest without restrictions in sectors like e-commerce, unless explicitly restricted by law.
Article 5 guarantees foreign investors the right to establish companies with 100% foreign ownership in Armenia, with no explicit foreign equity limitations in the e-commerce sector.</t>
  </si>
  <si>
    <t>Since July 1994, last amended in October 2006</t>
  </si>
  <si>
    <t>0,120</t>
  </si>
  <si>
    <r>
      <t xml:space="preserve">Online purchases and delivery limitations
</t>
    </r>
    <r>
      <rPr>
        <b/>
        <sz val="9"/>
        <color rgb="FF000000"/>
        <rFont val="Arial"/>
        <family val="2"/>
      </rPr>
      <t>Exception:</t>
    </r>
    <r>
      <rPr>
        <sz val="9"/>
        <color rgb="FF000000"/>
        <rFont val="Arial"/>
        <family val="2"/>
      </rPr>
      <t xml:space="preserve"> Not score limitations on online purchases and delivery applied specifically to products related to consumer protection, notably restrictions on alcoholic beverages, tobacco, and pharmaceuticals.</t>
    </r>
  </si>
  <si>
    <t>Decision No.107 of the Council of the Eurasian Economic Commission</t>
  </si>
  <si>
    <t>The duty-free thresholds for importing goods into Armenia are established by the Eurasian Economic Union (EAEU) regulations, specifically the "Decision No. 107 of the Council of the Eurasian Economic Commission" dated December 20, 2017. This decision sets the value and weight limits for goods imported for personal use without paying customs duties and taxes. According to this decision, the duty-free threshold for goods imported via international postal deliveries is up to €200 and 31 kg. For goods imported by land, the threshold is up to €500 and 25 kg. These thresholds are subject to periodic revisions by the EAEU.</t>
  </si>
  <si>
    <t>Since December 2017</t>
  </si>
  <si>
    <t>https://cis-legislation.com/document.fwx?rgn=142261</t>
  </si>
  <si>
    <r>
      <t xml:space="preserve">Licensing scheme for e-commerce providers (B2B and B2C)
</t>
    </r>
    <r>
      <rPr>
        <b/>
        <sz val="9"/>
        <color rgb="FF000000"/>
        <rFont val="Arial"/>
        <family val="2"/>
      </rPr>
      <t xml:space="preserve">Exception: </t>
    </r>
    <r>
      <rPr>
        <sz val="9"/>
        <color rgb="FF000000"/>
        <rFont val="Arial"/>
        <family val="2"/>
      </rPr>
      <t xml:space="preserve">Licenses pertiaining to other aspects of e-commerce businesses, such as license to operate online payment services and delivery are not captured. </t>
    </r>
  </si>
  <si>
    <t>No Licensing scheme for e-commerce providers (B2B and B2C) due to lack of dedicated laws or regulations that would govern the e-commerce sector.
Article 4 is designed to protect consumer rights, ensure public health and security, and support market regulation, which are all relevant to e-commerce. This could apply if e-commerce activities involve areas like consumer data, product quality, or public safety​.
Article 5 emphasizes consumer rights protection, quality of services, and the regulation of high-risk activities. If an e-commerce provider offers products or services that might impact consumer rights or public interests, they may be subject to certain requirements under this law​.
Article 7 allows legal or natural persons, and individual entrepreneurs, to engage in licensed activities. For an e-commerce business that crosses into activities requiring licenses, this could determine eligibility.
Article 43 provides a detailed list of activities that are subject to licensing, categorized by sectors such as security, trade, healthcare, telecommunications, financial services, and others. Each activity requires specific licensing procedures based on factors like professional qualifications, reporting requirements, and sometimes the need for technical expertise or tenders. E-commerce providers could fall under licensing requirements depending on the type of services they offer.</t>
  </si>
  <si>
    <t xml:space="preserve">Restrictions on online payment 
</t>
  </si>
  <si>
    <t>Law on Payment and Settlement Systems and Payment and Settlement Organizations 2004</t>
  </si>
  <si>
    <t xml:space="preserve">Armenia's Law on Payment and Settlement Systems and Payment and Settlement Organizations, adopted on November 24, 2004, does not explicitly mandate that e-commerce providers or consumers use local bank accounts for transactions. The law primarily focuses on regulating payment and settlement systems within Armenia, ensuring their stability and proper functioning.
</t>
  </si>
  <si>
    <t>Since November 2004, last amended in June 2022</t>
  </si>
  <si>
    <t>https://www.arlis.am/DocumentView.aspx?docid=184274</t>
  </si>
  <si>
    <t>http://www.parliament.am/law_docs/211204HO150eng.pdf</t>
  </si>
  <si>
    <t>Law on Currency Regulation and Currency Control 2004</t>
  </si>
  <si>
    <t>Law on Currency Regulation and Currency Control (April 2004, amended in 30 December 2020) governs the currency regulation in Armenia and ensures that the use of foreign currencies in transactions complies with local regulations. Specifically, Article 4 (Performance of current currency, capital movement and financial currency transactions) prescribes that no restriction shall be applied to current currency transactions. Residents shall perform currency transactions outside Armenia without limitations,
in accordance with the law of foreign countries. 
Moreover, Article 7 (Performance of transactions in foreign currency in Armenia) Residents and non-residents have a right to purchase/sell foreign currency without limitations on immediate or inferred payment terms, assuming a right or an obligation to repurchase or convert to other currency at a certain price in a certain period or on any other terms.</t>
  </si>
  <si>
    <t>Since April 2004, last amended in December 2020</t>
  </si>
  <si>
    <t>http://www.parliament.am/law_docs/211204HO135eng.pdf?lang=eng</t>
  </si>
  <si>
    <t>Armenia's Law on Payment and Settlement Systems and Payment and Settlement Organizations, adopted on November 24, 2004, outlines the regulatory framework for payment systems and mandates compliance with security measures to protect financial transactions.
Article 5 stipulates that payment and settlement systems must obtain authorization from the Central Bank of Armenia, which includes meeting specific technical and security requirements.
Article 6 details the necessary conditions for payment and settlement systems, emphasizing the importance of adhering to established security protocols to ensure the integrity and confidentiality of transactions.</t>
  </si>
  <si>
    <t xml:space="preserve">Article 19 of the Law on Payment and Settlement Systems (2004) requires any entity offering payment services, a payment and settlement organization (PSO) in Armenia, to be licensed by the Central Bank of Armenia to render payment and settlement services (money remittances, and processing and clearing of payment instruments).Money remittance PSOs can conduct foreign exchange trading and postal services if licensed. The requirements to obtain a license are available under Article 20. </t>
  </si>
  <si>
    <t>Armenia's Law on Payment and Settlement Systems and Payment and Settlement Organizations does not specify a maximum limit for online transaction amounts between e-commerce providers and consumers. However, it establishes the legal framework for payment systems and organizations, ensuring the security and efficiency of payment transactions.
Article 5 stipulates that payment and settlement systems must obtain authorization from the Central Bank of Armenia, which includes meeting specific technical and security requirements.
Article 6 details the necessary conditions for payment and settlement systems, emphasizing the importance of adhering to established security protocols to ensure the integrity and confidentiality of transactions.
While the law does not impose specific transaction amount limits, it provides a comprehensive framework to regulate and oversee payment systems, ensuring their stability and proper functioning.</t>
  </si>
  <si>
    <t>Article 5 stipulates that payment and settlement systems must obtain authorization from the Central Bank of Armenia, ensuring they meet specific technical and security requirements.
Article 6 details the necessary conditions for payment and settlement systems, emphasizing the importance of adhering to established security protocols to ensure the integrity and confidentiality of transactions.
While the law provides a framework for the operation of payment systems, it does not prescribe the use of specific intermediaries, allowing e-commerce providers and consumers the flexibility to choose their preferred payment service providers.</t>
  </si>
  <si>
    <t>No other online payment limitations.</t>
  </si>
  <si>
    <t>Low De Minimis</t>
  </si>
  <si>
    <t>Law on Customs Regulation 2014</t>
  </si>
  <si>
    <t>The Customs Code of the Republic of Armenia specifies de minimis thresholds for customs duties on goods imported via international postal or courier deliveries in Article 249 (Transportation of goods via international postal deliveries and transportation of goods for personal use by natural persons). This Article outlines the following de minimis rates:
0% customs duty if the total weight of goods imported within a month does not exceed 30 kilograms and their customs value is below AMD 200,000.
22.5% rate if the total weight remains under 30 kilograms but the customs value is between AMD 200,000 and an amount equivalent to 1,000 Euros.
30% rate, or the minimum rate as specified by international treaties, if the goods exceed the weight limit of 30 kilograms or the customs value exceeds 1,000 Euros​</t>
  </si>
  <si>
    <t>Since December 2014, amended in June 2022</t>
  </si>
  <si>
    <t>https://www.translation-centre.am/pdf/Trans_ru/HH_Orenq/Law_Maksain_Karg/HO-241-N_280916_en.pdf</t>
  </si>
  <si>
    <t>Decision of the Eurasian Economic Commission No. 107 on the Categories of Goods for Personal Use and Methods of their Import, including Value, Weight, and Quantity Import Standards (О категориях товаров для личного пользования и способах их ввоза, включая стандарты по стоимости, весу и количеству импортируемых товаров);
Decision of the Eurasian Economic Commission No. 87 on the Value and Weight Limits for Goods Imported via International Mail for Personal Use (О пределах стоимости и веса товаров, ввозимых для личного пользования посредством международной почты)</t>
  </si>
  <si>
    <t xml:space="preserve">The de minimis thresholds for duty-free importation of personal use goods into Eurasian Economic Union (EAEU) member states have evolved over time and currently depend on the mode of transport and import date. The foundational framework was established by Decision No. 107 of 2017 Appendix 1, which first set the categories of goods for personal use and initial value, weight, and quantity standards. 
On October 22, 2024, the EEC Council Decision No. 87 dated October 18, 2024, introduced changes to the value, weight, and/or quantity norms within which goods for personal use are imported into the customs territory of the EAEU without payment of customs duties and taxes, as established by EEC Council Decision No. 107 dated December 20, 2017. The new version clarifies the value, weight, and/or quantity norms for the importation of goods for personal use sent by international postal shipments. These are as follows:
- For goods — the value does not exceed the equivalent of 200 euros, and the gross weight does not exceed 31 kg;
- For tobacco; tobacco products; vapes — 200 cigarettes, or 50 cigars (cigarillos), or 200 heated tobacco products (“sticks”), or 250 grams of tobacco, or assorted products with a total weight of no more than 250 grams.
Therefore, as of 2025, the EAEU maintains a de minimis threshold of €200 (approximately USD 230) and 31 kg for goods imported for personal use via international mail.  </t>
  </si>
  <si>
    <t>Since December 2017;
Since November 2024</t>
  </si>
  <si>
    <t>https://www.alta.ru/tamdoc/17sr0107/#pril1</t>
  </si>
  <si>
    <t>https://www.alta.ru/tamdoc/24sr0087/</t>
  </si>
  <si>
    <t>Domain name requirements</t>
  </si>
  <si>
    <t xml:space="preserve">Policy of Domain Names Registration in ".AM" AND ".ՀԱՅ" Domain Zones 2017 </t>
  </si>
  <si>
    <t>The Internet Society of Armenia (ISOC-AM) is the main body responsible for the registration of .am and .հայ domains. It defines the rules and conditions for domain registration in Armenia.
In Armenia, a local representative is not strictly required to register a .am or .հայ domain name. Both local and international individuals or organizations can register these domains through the Internet Society of Armenia (ISOC-AM) without needing to have a local administrative contact. This makes the process accessible to international businesses and individuals who wish to operate an Armenian domain without having a local presence.
According to the Policy of Domain Names Registration in ".AM" and ".հայ" Domain Zones (2017), there is no requirement for registrants to have a physical presence in Armenia. The policy allows any individual or entity, regardless of their location, to register domain names under these country code top-level domains (ccTLDs). This inclusive approach facilitates global participation and supports the internationalization of Armenia's internet presence.</t>
  </si>
  <si>
    <t>Since October 2017</t>
  </si>
  <si>
    <t>https://www.isoc.am/wp-content/uploads/2022/12/policy_0.pdf</t>
  </si>
  <si>
    <t>Local presence requirements for online service providers</t>
  </si>
  <si>
    <t>This law provides the framework for telecommunications and electronic communications services in Armenia. While it regulates the operation of electronic communications providers, it does not impose specific local presence requirements for online platforms or digital services like e-commerce, social media, or cloud services.
Article 4 specifies that any entity providing telecommunications services must comply with the requirements set by the Public Services Regulatory Commission (PSRC), but no specific mandate for local presence is mentioned for purely online services.</t>
  </si>
  <si>
    <t>Since January 1, 2006, last amended in November 19, 2021</t>
  </si>
  <si>
    <t>Armenia’s Law on Foreign Investments promotes a liberal approach to foreign investment, allowing foreign companies to operate freely in most sectors, including online services. There are no restrictions on foreign equity or local commercial presence requirements for online service providers under this law, meaning foreign entities can operate without establishing a physical office in Armenia.
Article 5 of the law ensures that foreign companies have the right to operate in Armenia under the same conditions as domestic companies, without additional presence requirements.</t>
  </si>
  <si>
    <t>Since July 1994, amended in October 2006</t>
  </si>
  <si>
    <t>Lack of legal framework for online consumer protection</t>
  </si>
  <si>
    <t>Law on Consumer Protection 1996</t>
  </si>
  <si>
    <t>This law provides general protections for consumers in Armenia, including those purchasing goods and services online. It guarantees the right to accurate information, the right to return goods, and protection against unfair or deceptive practices.
Article 5 specifies that consumers have the right to receive clear and accurate information about products and services, a critical aspect for online transactions.</t>
  </si>
  <si>
    <t>Since June 1996, last amended in June 2023</t>
  </si>
  <si>
    <t>http://www.parliament.am/legislation.php?sel=show&amp;ID=1506&amp;lang=eng , https://cis-legislation.com/document.fwx?rgn=3625 , https://www.armenianow.com/pdf/ci-eng.pdf</t>
  </si>
  <si>
    <t>Chapter 9 of the Law stipulates consumer protection, addressing various consumer protection issues. For instance, Article 46 (Customer service)  requires operators or service providers to maintain at least one operational office in each geographic area they serve, providing information on services, tariffs, and billing adjustments. Tariffs and geographical zone maps must be accessible at these offices.
Article 47 (Repair and elimination of network impairments) mandates that end-users report service impairments to the operator's repair service, which must restore service within a reasonable time. Operators are also required to submit consolidated data on impairments to the Regulator, available for public inspection.</t>
  </si>
  <si>
    <t>Not in the United Nations Convention of Electronic Communications</t>
  </si>
  <si>
    <t>Lack of signature of the UN Convention on Electronic Communications</t>
  </si>
  <si>
    <t>Lack of signature of the United Nations Convention on Electronic Communications</t>
  </si>
  <si>
    <t>https://uncitral.un.org/en/texts/ecommerce/conventions/electronic_communications/status</t>
  </si>
  <si>
    <t>Not in the UNCITRAL Model Law on Electronic Commerce</t>
  </si>
  <si>
    <t>Lack of adoption of the UNCITRAL Model Law on Electronic Commerce</t>
  </si>
  <si>
    <t>Armenia has not notified its adoption of the UNCITRAL Model Law on Electronic Commerce to the UNCITRAL Secretariat.</t>
  </si>
  <si>
    <t>https://uncitral.un.org/en/texts/ecommerce/modellaw/electronic_commerce/status</t>
  </si>
  <si>
    <t>Not in the UNCITRAL Model Law on Electronic Signatures</t>
  </si>
  <si>
    <t>Lack of adoption of the UNCITRAL Model Law on Electronic Signatures</t>
  </si>
  <si>
    <t>Armenia has not notified its adoption of the UNCITRAL Model Law on Electronic Signatures to the UNCITRAL Secretariat.</t>
  </si>
  <si>
    <t>https://uncitral.un.org/en/texts/ecommerce/modellaw/electronic_signatures/status</t>
  </si>
  <si>
    <t>Overall RDTII score</t>
  </si>
  <si>
    <t>Local storage requirements
Exception: Not score data localization measure applied to government data.</t>
  </si>
  <si>
    <t>Licensing requirements for online content providers and applications (social media platforms, new providers, VPN, cloud servics, etc.)
Exception: Not cover license for telecommunication facilities and service providers (captured under Pillar 5), License for e-commerce platform (captured under Pillar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</si>
</sst>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3" x14ac:knownFonts="1">
    <font>
      <sz val="12"/>
      <color theme="1"/>
      <name val="Calibri"/>
      <family val="2"/>
      <scheme val="minor"/>
    </font>
    <font>
      <b/>
      <sz val="18"/>
      <color rgb="FF000000"/>
      <name val="Arial"/>
      <family val="2"/>
    </font>
    <font>
      <sz val="10"/>
      <name val="MS Sans Serif"/>
      <family val="2"/>
    </font>
    <font>
      <b/>
      <sz val="36"/>
      <color rgb="FF000000"/>
      <name val="Arial"/>
      <family val="2"/>
    </font>
    <font>
      <sz val="9"/>
      <color rgb="FF000000"/>
      <name val="Arial"/>
      <family val="2"/>
    </font>
    <font>
      <u/>
      <sz val="9"/>
      <color rgb="FF000000"/>
      <name val="Arial"/>
      <family val="2"/>
    </font>
    <font>
      <b/>
      <sz val="48"/>
      <color rgb="FF000000"/>
      <name val="Arial"/>
      <family val="2"/>
    </font>
    <font>
      <sz val="9"/>
      <name val="Arial"/>
      <family val="2"/>
    </font>
    <font>
      <u/>
      <sz val="12"/>
      <color theme="10"/>
      <name val="Calibri"/>
      <family val="2"/>
      <scheme val="minor"/>
    </font>
    <font>
      <sz val="10"/>
      <color rgb="FF000000"/>
      <name val="Arial"/>
      <family val="2"/>
    </font>
    <font>
      <b/>
      <sz val="9"/>
      <color rgb="FF000000"/>
      <name val="Arial"/>
      <family val="2"/>
    </font>
    <font>
      <sz val="9"/>
      <color theme="1"/>
      <name val="Arial"/>
      <family val="2"/>
    </font>
    <font>
      <b/>
      <sz val="48"/>
      <color theme="1"/>
      <name val="Arial"/>
      <family val="2"/>
    </font>
  </fonts>
  <fills count="11">
    <fill>
      <patternFill patternType="none"/>
    </fill>
    <fill>
      <patternFill patternType="gray125"/>
    </fill>
    <fill>
      <patternFill patternType="solid">
        <fgColor rgb="FFB0B0E4"/>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C000"/>
        <bgColor indexed="64"/>
      </patternFill>
    </fill>
    <fill>
      <patternFill patternType="solid">
        <fgColor rgb="FF0070C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rgb="FF000000"/>
      </right>
      <top style="thin">
        <color rgb="FF000000"/>
      </top>
      <bottom/>
      <diagonal/>
    </border>
    <border>
      <left style="thin">
        <color indexed="64"/>
      </left>
      <right style="thin">
        <color rgb="FF000000"/>
      </right>
      <top/>
      <bottom/>
      <diagonal/>
    </border>
    <border>
      <left style="thin">
        <color indexed="64"/>
      </left>
      <right style="thin">
        <color rgb="FF000000"/>
      </right>
      <top/>
      <bottom style="thin">
        <color rgb="FF000000"/>
      </bottom>
      <diagonal/>
    </border>
    <border>
      <left/>
      <right style="thin">
        <color auto="1"/>
      </right>
      <top/>
      <bottom style="thin">
        <color auto="1"/>
      </bottom>
      <diagonal/>
    </border>
  </borders>
  <cellStyleXfs count="4">
    <xf numFmtId="0" fontId="0" fillId="0" borderId="0"/>
    <xf numFmtId="0" fontId="8" fillId="0" borderId="0" applyNumberFormat="0" applyFill="0" applyBorder="0" applyAlignment="0" applyProtection="0"/>
    <xf numFmtId="0" fontId="2" fillId="0" borderId="0"/>
    <xf numFmtId="0" fontId="9" fillId="0" borderId="0"/>
  </cellStyleXfs>
  <cellXfs count="151">
    <xf numFmtId="0" fontId="0" fillId="0" borderId="0" xfId="0"/>
    <xf numFmtId="0" fontId="1" fillId="0" borderId="1" xfId="0" applyFont="1" applyBorder="1" applyAlignment="1">
      <alignment horizontal="center"/>
    </xf>
    <xf numFmtId="0" fontId="1" fillId="0" borderId="1" xfId="2" applyFont="1" applyBorder="1" applyAlignment="1">
      <alignment horizontal="center"/>
    </xf>
    <xf numFmtId="0" fontId="1" fillId="0" borderId="1" xfId="2" applyFont="1" applyBorder="1" applyAlignment="1">
      <alignment horizontal="left"/>
    </xf>
    <xf numFmtId="0" fontId="1" fillId="0" borderId="1" xfId="0" applyFont="1" applyBorder="1" applyAlignment="1">
      <alignment horizontal="center" wrapText="1"/>
    </xf>
    <xf numFmtId="0" fontId="1" fillId="0" borderId="2" xfId="0" applyFont="1" applyBorder="1" applyAlignment="1">
      <alignment horizontal="center" wrapText="1"/>
    </xf>
    <xf numFmtId="0" fontId="3" fillId="0" borderId="3" xfId="0" applyFont="1" applyBorder="1" applyAlignment="1">
      <alignment horizontal="center" vertical="center"/>
    </xf>
    <xf numFmtId="0" fontId="4" fillId="2" borderId="1" xfId="0" applyFont="1" applyFill="1" applyBorder="1" applyAlignment="1">
      <alignment horizontal="left" vertical="top" wrapText="1"/>
    </xf>
    <xf numFmtId="164" fontId="4" fillId="2" borderId="1" xfId="0" applyNumberFormat="1" applyFont="1" applyFill="1" applyBorder="1" applyAlignment="1">
      <alignment horizontal="left" vertical="top"/>
    </xf>
    <xf numFmtId="2" fontId="4" fillId="2" borderId="1" xfId="0" applyNumberFormat="1" applyFont="1" applyFill="1" applyBorder="1" applyAlignment="1">
      <alignment horizontal="left" vertical="top"/>
    </xf>
    <xf numFmtId="0" fontId="5" fillId="2" borderId="1" xfId="0" applyFont="1" applyFill="1" applyBorder="1" applyAlignment="1">
      <alignment vertical="top" wrapText="1"/>
    </xf>
    <xf numFmtId="0" fontId="4" fillId="2" borderId="2" xfId="0" applyFont="1" applyFill="1" applyBorder="1" applyAlignment="1">
      <alignment horizontal="left" vertical="top"/>
    </xf>
    <xf numFmtId="2" fontId="4" fillId="2" borderId="1" xfId="0" applyNumberFormat="1" applyFont="1" applyFill="1" applyBorder="1" applyAlignment="1">
      <alignment horizontal="left" vertical="top" wrapText="1"/>
    </xf>
    <xf numFmtId="0" fontId="4" fillId="2" borderId="1" xfId="0" applyFont="1" applyFill="1" applyBorder="1" applyAlignment="1">
      <alignment vertical="top" wrapText="1"/>
    </xf>
    <xf numFmtId="0" fontId="4" fillId="2" borderId="6" xfId="0" applyFont="1" applyFill="1" applyBorder="1" applyAlignment="1">
      <alignment vertical="top" wrapText="1"/>
    </xf>
    <xf numFmtId="0" fontId="5" fillId="2" borderId="6" xfId="1" applyFont="1" applyFill="1" applyBorder="1" applyAlignment="1">
      <alignment vertical="top" wrapText="1"/>
    </xf>
    <xf numFmtId="0" fontId="5" fillId="2" borderId="1" xfId="1" applyNumberFormat="1" applyFont="1" applyFill="1" applyBorder="1" applyAlignment="1">
      <alignment horizontal="left" vertical="top" wrapText="1"/>
    </xf>
    <xf numFmtId="0" fontId="4" fillId="2" borderId="1" xfId="0" applyFont="1" applyFill="1" applyBorder="1" applyAlignment="1">
      <alignment vertical="top"/>
    </xf>
    <xf numFmtId="0" fontId="4" fillId="2" borderId="1" xfId="0" applyFont="1" applyFill="1" applyBorder="1" applyAlignment="1">
      <alignment horizontal="left" vertical="top"/>
    </xf>
    <xf numFmtId="0" fontId="4" fillId="3" borderId="1" xfId="0" applyFont="1" applyFill="1" applyBorder="1" applyAlignment="1">
      <alignment horizontal="left" vertical="top" wrapText="1"/>
    </xf>
    <xf numFmtId="164" fontId="4" fillId="3" borderId="1" xfId="0" applyNumberFormat="1" applyFont="1" applyFill="1" applyBorder="1" applyAlignment="1">
      <alignment horizontal="left" vertical="top"/>
    </xf>
    <xf numFmtId="2" fontId="4" fillId="3" borderId="1" xfId="0" applyNumberFormat="1" applyFont="1" applyFill="1" applyBorder="1" applyAlignment="1">
      <alignment horizontal="left" vertical="top" wrapText="1"/>
    </xf>
    <xf numFmtId="0" fontId="5" fillId="3" borderId="1" xfId="1" applyNumberFormat="1" applyFont="1" applyFill="1" applyBorder="1" applyAlignment="1">
      <alignment horizontal="left" vertical="top" wrapText="1"/>
    </xf>
    <xf numFmtId="0" fontId="4" fillId="3" borderId="2" xfId="0" applyFont="1" applyFill="1" applyBorder="1" applyAlignment="1">
      <alignment horizontal="left" vertical="top" wrapText="1"/>
    </xf>
    <xf numFmtId="0" fontId="4" fillId="4" borderId="1" xfId="0" applyFont="1" applyFill="1" applyBorder="1" applyAlignment="1">
      <alignment horizontal="left" vertical="top" wrapText="1"/>
    </xf>
    <xf numFmtId="164" fontId="4" fillId="4" borderId="1" xfId="0" applyNumberFormat="1" applyFont="1" applyFill="1" applyBorder="1" applyAlignment="1">
      <alignment horizontal="left" vertical="top"/>
    </xf>
    <xf numFmtId="2" fontId="4" fillId="4" borderId="1" xfId="0" applyNumberFormat="1" applyFont="1" applyFill="1" applyBorder="1" applyAlignment="1">
      <alignment horizontal="left" vertical="top" wrapText="1"/>
    </xf>
    <xf numFmtId="0" fontId="5" fillId="4" borderId="1" xfId="1" applyNumberFormat="1" applyFont="1" applyFill="1" applyBorder="1" applyAlignment="1">
      <alignment vertical="top" wrapText="1" readingOrder="1"/>
    </xf>
    <xf numFmtId="0" fontId="4" fillId="4" borderId="2" xfId="0" applyFont="1" applyFill="1" applyBorder="1" applyAlignment="1">
      <alignment horizontal="left" vertical="top" wrapText="1"/>
    </xf>
    <xf numFmtId="0" fontId="4" fillId="4" borderId="1" xfId="0" applyFont="1" applyFill="1" applyBorder="1" applyAlignment="1">
      <alignment vertical="top" wrapText="1"/>
    </xf>
    <xf numFmtId="0" fontId="4" fillId="4" borderId="1" xfId="0" applyFont="1" applyFill="1" applyBorder="1" applyAlignment="1">
      <alignment horizontal="left" vertical="top"/>
    </xf>
    <xf numFmtId="0" fontId="5" fillId="4" borderId="1" xfId="1" applyNumberFormat="1" applyFont="1" applyFill="1" applyBorder="1" applyAlignment="1">
      <alignment vertical="top" wrapText="1"/>
    </xf>
    <xf numFmtId="0" fontId="4" fillId="5" borderId="1" xfId="0" applyFont="1" applyFill="1" applyBorder="1" applyAlignment="1">
      <alignment horizontal="left" vertical="top" wrapText="1"/>
    </xf>
    <xf numFmtId="2" fontId="4" fillId="5" borderId="1" xfId="0" applyNumberFormat="1" applyFont="1" applyFill="1" applyBorder="1" applyAlignment="1">
      <alignment horizontal="left" vertical="top"/>
    </xf>
    <xf numFmtId="2" fontId="4" fillId="5" borderId="1" xfId="0" applyNumberFormat="1" applyFont="1" applyFill="1" applyBorder="1" applyAlignment="1">
      <alignment horizontal="left" vertical="top" wrapText="1"/>
    </xf>
    <xf numFmtId="0" fontId="5" fillId="5" borderId="1" xfId="1" applyNumberFormat="1" applyFont="1" applyFill="1" applyBorder="1" applyAlignment="1">
      <alignment vertical="top" wrapText="1" readingOrder="1"/>
    </xf>
    <xf numFmtId="0" fontId="4" fillId="5" borderId="2" xfId="0" applyFont="1" applyFill="1" applyBorder="1" applyAlignment="1">
      <alignment horizontal="left" vertical="top" wrapText="1"/>
    </xf>
    <xf numFmtId="164" fontId="4" fillId="5" borderId="1" xfId="0" applyNumberFormat="1" applyFont="1" applyFill="1" applyBorder="1" applyAlignment="1">
      <alignment horizontal="left" vertical="top"/>
    </xf>
    <xf numFmtId="0" fontId="4" fillId="5" borderId="1" xfId="0" applyFont="1" applyFill="1" applyBorder="1" applyAlignment="1">
      <alignment horizontal="left" vertical="top"/>
    </xf>
    <xf numFmtId="0" fontId="5" fillId="5" borderId="2" xfId="0" applyFont="1" applyFill="1" applyBorder="1" applyAlignment="1">
      <alignment horizontal="left" vertical="top" wrapText="1"/>
    </xf>
    <xf numFmtId="0" fontId="4" fillId="6" borderId="1" xfId="0" applyFont="1" applyFill="1" applyBorder="1" applyAlignment="1">
      <alignment horizontal="left" vertical="top" wrapText="1"/>
    </xf>
    <xf numFmtId="164" fontId="4" fillId="6" borderId="1" xfId="0" applyNumberFormat="1" applyFont="1" applyFill="1" applyBorder="1" applyAlignment="1">
      <alignment horizontal="left" vertical="top"/>
    </xf>
    <xf numFmtId="2" fontId="4" fillId="6" borderId="1" xfId="0" applyNumberFormat="1" applyFont="1" applyFill="1" applyBorder="1" applyAlignment="1">
      <alignment horizontal="left" vertical="top" wrapText="1"/>
    </xf>
    <xf numFmtId="0" fontId="5" fillId="6" borderId="1" xfId="1" applyNumberFormat="1" applyFont="1" applyFill="1" applyBorder="1" applyAlignment="1">
      <alignment horizontal="left" vertical="top" wrapText="1"/>
    </xf>
    <xf numFmtId="0" fontId="5" fillId="6" borderId="1" xfId="1" applyNumberFormat="1" applyFont="1" applyFill="1" applyBorder="1" applyAlignment="1">
      <alignment vertical="top" wrapText="1"/>
    </xf>
    <xf numFmtId="0" fontId="4" fillId="6" borderId="1" xfId="0" applyFont="1" applyFill="1" applyBorder="1" applyAlignment="1">
      <alignment horizontal="left" vertical="top"/>
    </xf>
    <xf numFmtId="0" fontId="4" fillId="6" borderId="1" xfId="0" applyFont="1" applyFill="1" applyBorder="1" applyAlignment="1">
      <alignment vertical="top" wrapText="1"/>
    </xf>
    <xf numFmtId="0" fontId="5" fillId="6" borderId="1" xfId="1" applyFont="1" applyFill="1" applyBorder="1" applyAlignment="1">
      <alignment vertical="top" wrapText="1"/>
    </xf>
    <xf numFmtId="0" fontId="4" fillId="6" borderId="1" xfId="0" applyFont="1" applyFill="1" applyBorder="1" applyAlignment="1">
      <alignment vertical="top"/>
    </xf>
    <xf numFmtId="0" fontId="5" fillId="6" borderId="1" xfId="0" applyFont="1" applyFill="1" applyBorder="1" applyAlignment="1">
      <alignment horizontal="left" vertical="top" wrapText="1"/>
    </xf>
    <xf numFmtId="0" fontId="4" fillId="6" borderId="1" xfId="0" applyFont="1" applyFill="1" applyBorder="1" applyAlignment="1">
      <alignment vertical="top" wrapText="1" readingOrder="1"/>
    </xf>
    <xf numFmtId="0" fontId="5" fillId="6" borderId="1" xfId="1" applyNumberFormat="1" applyFont="1" applyFill="1" applyBorder="1" applyAlignment="1">
      <alignment vertical="top" wrapText="1" readingOrder="1"/>
    </xf>
    <xf numFmtId="0" fontId="4" fillId="7" borderId="1" xfId="0" applyFont="1" applyFill="1" applyBorder="1" applyAlignment="1">
      <alignment horizontal="left" vertical="top" wrapText="1"/>
    </xf>
    <xf numFmtId="164" fontId="4" fillId="7" borderId="1" xfId="0" applyNumberFormat="1" applyFont="1" applyFill="1" applyBorder="1" applyAlignment="1">
      <alignment horizontal="left" vertical="top"/>
    </xf>
    <xf numFmtId="2" fontId="4" fillId="7" borderId="1" xfId="0" applyNumberFormat="1" applyFont="1" applyFill="1" applyBorder="1" applyAlignment="1">
      <alignment horizontal="left" vertical="top"/>
    </xf>
    <xf numFmtId="0" fontId="5" fillId="7" borderId="1" xfId="1" applyNumberFormat="1" applyFont="1" applyFill="1" applyBorder="1" applyAlignment="1">
      <alignment vertical="top" wrapText="1"/>
    </xf>
    <xf numFmtId="0" fontId="4" fillId="7" borderId="1" xfId="0" applyFont="1" applyFill="1" applyBorder="1" applyAlignment="1">
      <alignment horizontal="left" vertical="top"/>
    </xf>
    <xf numFmtId="2" fontId="4" fillId="7" borderId="1" xfId="0" applyNumberFormat="1" applyFont="1" applyFill="1" applyBorder="1" applyAlignment="1">
      <alignment horizontal="left" vertical="top" wrapText="1"/>
    </xf>
    <xf numFmtId="0" fontId="5" fillId="7" borderId="1" xfId="1" applyNumberFormat="1" applyFont="1" applyFill="1" applyBorder="1" applyAlignment="1">
      <alignment horizontal="left" vertical="top" wrapText="1"/>
    </xf>
    <xf numFmtId="0" fontId="4" fillId="8" borderId="1" xfId="0" applyFont="1" applyFill="1" applyBorder="1" applyAlignment="1">
      <alignment horizontal="left" vertical="top" wrapText="1"/>
    </xf>
    <xf numFmtId="164" fontId="4" fillId="8" borderId="1" xfId="0" applyNumberFormat="1" applyFont="1" applyFill="1" applyBorder="1" applyAlignment="1">
      <alignment horizontal="left" vertical="top"/>
    </xf>
    <xf numFmtId="2" fontId="4" fillId="8" borderId="1" xfId="0" applyNumberFormat="1" applyFont="1" applyFill="1" applyBorder="1" applyAlignment="1">
      <alignment horizontal="left" vertical="top" wrapText="1"/>
    </xf>
    <xf numFmtId="0" fontId="5" fillId="8" borderId="1" xfId="1" applyNumberFormat="1" applyFont="1" applyFill="1" applyBorder="1" applyAlignment="1">
      <alignment horizontal="left" vertical="top" wrapText="1"/>
    </xf>
    <xf numFmtId="0" fontId="4" fillId="8" borderId="1" xfId="0" applyFont="1" applyFill="1" applyBorder="1" applyAlignment="1">
      <alignment horizontal="left" vertical="top"/>
    </xf>
    <xf numFmtId="0" fontId="5" fillId="8" borderId="1" xfId="1" applyNumberFormat="1" applyFont="1" applyFill="1" applyBorder="1" applyAlignment="1">
      <alignment vertical="top" wrapText="1" readingOrder="1"/>
    </xf>
    <xf numFmtId="0" fontId="4" fillId="3" borderId="4" xfId="0" applyFont="1" applyFill="1" applyBorder="1" applyAlignment="1">
      <alignment horizontal="left" vertical="top" wrapText="1"/>
    </xf>
    <xf numFmtId="0" fontId="4" fillId="3" borderId="1" xfId="0" applyFont="1" applyFill="1" applyBorder="1" applyAlignment="1">
      <alignment vertical="top" wrapText="1" readingOrder="1"/>
    </xf>
    <xf numFmtId="164" fontId="4" fillId="3" borderId="1" xfId="0" applyNumberFormat="1" applyFont="1" applyFill="1" applyBorder="1" applyAlignment="1">
      <alignment horizontal="left" vertical="top" wrapText="1"/>
    </xf>
    <xf numFmtId="0" fontId="4" fillId="3" borderId="1" xfId="0" applyFont="1" applyFill="1" applyBorder="1" applyAlignment="1">
      <alignment vertical="top" wrapText="1"/>
    </xf>
    <xf numFmtId="0" fontId="5" fillId="3" borderId="1" xfId="1" applyNumberFormat="1" applyFont="1" applyFill="1" applyBorder="1" applyAlignment="1">
      <alignment vertical="top" wrapText="1" readingOrder="1"/>
    </xf>
    <xf numFmtId="2" fontId="4" fillId="3" borderId="5" xfId="0" applyNumberFormat="1" applyFont="1" applyFill="1" applyBorder="1" applyAlignment="1">
      <alignment horizontal="left" vertical="top" wrapText="1"/>
    </xf>
    <xf numFmtId="0" fontId="4" fillId="9" borderId="1" xfId="0" applyFont="1" applyFill="1" applyBorder="1" applyAlignment="1">
      <alignment horizontal="left" vertical="top" wrapText="1"/>
    </xf>
    <xf numFmtId="164" fontId="4" fillId="9" borderId="1" xfId="0" applyNumberFormat="1" applyFont="1" applyFill="1" applyBorder="1" applyAlignment="1">
      <alignment horizontal="left" vertical="top"/>
    </xf>
    <xf numFmtId="2" fontId="4" fillId="9" borderId="1" xfId="0" applyNumberFormat="1" applyFont="1" applyFill="1" applyBorder="1" applyAlignment="1">
      <alignment horizontal="left" vertical="top" wrapText="1"/>
    </xf>
    <xf numFmtId="0" fontId="5" fillId="9" borderId="1" xfId="1" applyNumberFormat="1" applyFont="1" applyFill="1" applyBorder="1" applyAlignment="1">
      <alignment vertical="top" wrapText="1" readingOrder="1"/>
    </xf>
    <xf numFmtId="0" fontId="4" fillId="9" borderId="1" xfId="0" applyFont="1" applyFill="1" applyBorder="1" applyAlignment="1">
      <alignment horizontal="left" vertical="top"/>
    </xf>
    <xf numFmtId="0" fontId="4" fillId="9" borderId="1" xfId="0" applyFont="1" applyFill="1" applyBorder="1" applyAlignment="1">
      <alignment vertical="top" wrapText="1"/>
    </xf>
    <xf numFmtId="0" fontId="4" fillId="9" borderId="1" xfId="0" applyFont="1" applyFill="1" applyBorder="1" applyAlignment="1" applyProtection="1">
      <alignment horizontal="left" vertical="top" wrapText="1"/>
      <protection locked="0"/>
    </xf>
    <xf numFmtId="0" fontId="5" fillId="9" borderId="1" xfId="0" applyFont="1" applyFill="1" applyBorder="1" applyAlignment="1">
      <alignment horizontal="left" vertical="top" wrapText="1"/>
    </xf>
    <xf numFmtId="0" fontId="4" fillId="9" borderId="1" xfId="0" applyFont="1" applyFill="1" applyBorder="1" applyAlignment="1" applyProtection="1">
      <alignment vertical="top" wrapText="1"/>
      <protection locked="0"/>
    </xf>
    <xf numFmtId="0" fontId="4" fillId="9" borderId="4" xfId="0" applyFont="1" applyFill="1" applyBorder="1" applyAlignment="1">
      <alignment horizontal="left" vertical="top" wrapText="1"/>
    </xf>
    <xf numFmtId="0" fontId="5" fillId="9" borderId="1" xfId="1" applyNumberFormat="1" applyFont="1" applyFill="1" applyBorder="1" applyAlignment="1">
      <alignment horizontal="left" vertical="top" wrapText="1"/>
    </xf>
    <xf numFmtId="0" fontId="4" fillId="5" borderId="1" xfId="0" applyFont="1" applyFill="1" applyBorder="1" applyAlignment="1">
      <alignment vertical="top" wrapText="1"/>
    </xf>
    <xf numFmtId="0" fontId="5" fillId="5" borderId="1" xfId="1" applyNumberFormat="1" applyFont="1" applyFill="1" applyBorder="1" applyAlignment="1">
      <alignment horizontal="left" vertical="top" wrapText="1"/>
    </xf>
    <xf numFmtId="0" fontId="5" fillId="5" borderId="1" xfId="1" applyNumberFormat="1" applyFont="1" applyFill="1" applyBorder="1" applyAlignment="1">
      <alignment vertical="top" wrapText="1"/>
    </xf>
    <xf numFmtId="0" fontId="11" fillId="5" borderId="4" xfId="0" applyFont="1" applyFill="1" applyBorder="1" applyAlignment="1">
      <alignment horizontal="left" vertical="top" wrapText="1"/>
    </xf>
    <xf numFmtId="164" fontId="4" fillId="5" borderId="1" xfId="0" applyNumberFormat="1" applyFont="1" applyFill="1" applyBorder="1" applyAlignment="1">
      <alignment horizontal="left" vertical="top" wrapText="1"/>
    </xf>
    <xf numFmtId="0" fontId="11" fillId="3" borderId="4" xfId="0" applyFont="1" applyFill="1" applyBorder="1" applyAlignment="1">
      <alignment horizontal="left" vertical="top" wrapText="1"/>
    </xf>
    <xf numFmtId="0" fontId="4" fillId="3" borderId="5" xfId="0" applyFont="1" applyFill="1" applyBorder="1" applyAlignment="1">
      <alignment horizontal="left" vertical="top" wrapText="1"/>
    </xf>
    <xf numFmtId="0" fontId="4" fillId="3" borderId="1" xfId="0" applyFont="1" applyFill="1" applyBorder="1" applyAlignment="1">
      <alignment vertical="top"/>
    </xf>
    <xf numFmtId="164" fontId="4" fillId="3" borderId="2" xfId="0" applyNumberFormat="1" applyFont="1" applyFill="1" applyBorder="1" applyAlignment="1">
      <alignment horizontal="left" vertical="top"/>
    </xf>
    <xf numFmtId="0" fontId="4" fillId="3" borderId="1" xfId="0" applyFont="1" applyFill="1" applyBorder="1" applyAlignment="1">
      <alignment horizontal="left" vertical="top"/>
    </xf>
    <xf numFmtId="0" fontId="4" fillId="3" borderId="2" xfId="0" applyFont="1" applyFill="1" applyBorder="1" applyAlignment="1">
      <alignment horizontal="left" vertical="top"/>
    </xf>
    <xf numFmtId="2" fontId="4" fillId="3" borderId="1" xfId="0" applyNumberFormat="1" applyFont="1" applyFill="1" applyBorder="1" applyAlignment="1">
      <alignment horizontal="left" vertical="top"/>
    </xf>
    <xf numFmtId="0" fontId="5" fillId="3" borderId="1" xfId="1" applyFont="1" applyFill="1" applyBorder="1" applyAlignment="1">
      <alignment vertical="top" wrapText="1"/>
    </xf>
    <xf numFmtId="0" fontId="5" fillId="3" borderId="1" xfId="0" applyFont="1" applyFill="1" applyBorder="1" applyAlignment="1">
      <alignment horizontal="left" vertical="top"/>
    </xf>
    <xf numFmtId="2" fontId="4" fillId="3" borderId="11" xfId="0" applyNumberFormat="1" applyFont="1" applyFill="1" applyBorder="1" applyAlignment="1">
      <alignment horizontal="left" vertical="top" wrapText="1"/>
    </xf>
    <xf numFmtId="0" fontId="4" fillId="3" borderId="7" xfId="0" applyFont="1" applyFill="1" applyBorder="1" applyAlignment="1">
      <alignment vertical="top" wrapText="1"/>
    </xf>
    <xf numFmtId="0" fontId="4" fillId="3" borderId="1" xfId="0" applyFont="1" applyFill="1" applyBorder="1" applyAlignment="1" applyProtection="1">
      <alignment horizontal="left" vertical="top" wrapText="1"/>
      <protection locked="0"/>
    </xf>
    <xf numFmtId="0" fontId="5" fillId="3" borderId="1" xfId="0" applyFont="1" applyFill="1" applyBorder="1" applyAlignment="1">
      <alignment horizontal="left" vertical="top" wrapText="1"/>
    </xf>
    <xf numFmtId="2" fontId="4" fillId="4" borderId="1" xfId="0" applyNumberFormat="1" applyFont="1" applyFill="1" applyBorder="1" applyAlignment="1">
      <alignment horizontal="left" vertical="top"/>
    </xf>
    <xf numFmtId="0" fontId="4" fillId="4" borderId="4" xfId="0" applyFont="1" applyFill="1" applyBorder="1" applyAlignment="1">
      <alignment horizontal="left" vertical="top" wrapText="1"/>
    </xf>
    <xf numFmtId="0" fontId="4" fillId="4" borderId="1" xfId="0" applyFont="1" applyFill="1" applyBorder="1" applyAlignment="1">
      <alignment vertical="top" wrapText="1" readingOrder="1"/>
    </xf>
    <xf numFmtId="0" fontId="4" fillId="4" borderId="1" xfId="0" applyFont="1" applyFill="1" applyBorder="1" applyAlignment="1" applyProtection="1">
      <alignment horizontal="left" vertical="top" wrapText="1"/>
      <protection locked="0"/>
    </xf>
    <xf numFmtId="0" fontId="5" fillId="4" borderId="1" xfId="1" applyFont="1" applyFill="1" applyBorder="1" applyAlignment="1">
      <alignment horizontal="left" vertical="top" wrapText="1"/>
    </xf>
    <xf numFmtId="0" fontId="5" fillId="4" borderId="1" xfId="1" applyFont="1" applyFill="1" applyBorder="1" applyAlignment="1">
      <alignment horizontal="left" vertical="top"/>
    </xf>
    <xf numFmtId="0" fontId="5" fillId="4" borderId="1" xfId="1" applyNumberFormat="1" applyFont="1" applyFill="1" applyBorder="1" applyAlignment="1">
      <alignment horizontal="left" vertical="top" wrapText="1"/>
    </xf>
    <xf numFmtId="0" fontId="5" fillId="4" borderId="1" xfId="0" applyFont="1" applyFill="1" applyBorder="1" applyAlignment="1">
      <alignment horizontal="left" vertical="top" wrapText="1"/>
    </xf>
    <xf numFmtId="0" fontId="4" fillId="4" borderId="1" xfId="0" applyFont="1" applyFill="1" applyBorder="1" applyAlignment="1" applyProtection="1">
      <alignment vertical="top" wrapText="1"/>
      <protection locked="0"/>
    </xf>
    <xf numFmtId="1" fontId="7" fillId="0" borderId="0" xfId="0" applyNumberFormat="1" applyFont="1" applyAlignment="1">
      <alignment vertical="top"/>
    </xf>
    <xf numFmtId="0" fontId="7" fillId="0" borderId="0" xfId="0" applyFont="1" applyAlignment="1">
      <alignment vertical="top"/>
    </xf>
    <xf numFmtId="0" fontId="7" fillId="0" borderId="0" xfId="0" applyFont="1" applyAlignment="1">
      <alignment horizontal="left" vertical="top" wrapText="1"/>
    </xf>
    <xf numFmtId="0" fontId="7" fillId="0" borderId="0" xfId="0" applyFont="1" applyAlignment="1">
      <alignment horizontal="left" vertical="top"/>
    </xf>
    <xf numFmtId="0" fontId="4" fillId="0" borderId="0" xfId="0" applyFont="1" applyAlignment="1">
      <alignment vertical="top"/>
    </xf>
    <xf numFmtId="165" fontId="12" fillId="10" borderId="4" xfId="0" applyNumberFormat="1" applyFont="1" applyFill="1" applyBorder="1" applyAlignment="1">
      <alignment horizontal="left"/>
    </xf>
    <xf numFmtId="165" fontId="12" fillId="10" borderId="4" xfId="0" applyNumberFormat="1" applyFont="1" applyFill="1" applyBorder="1"/>
    <xf numFmtId="2" fontId="4" fillId="2" borderId="4" xfId="0" applyNumberFormat="1" applyFont="1" applyFill="1" applyBorder="1" applyAlignment="1">
      <alignment horizontal="left" vertical="top" wrapText="1"/>
    </xf>
    <xf numFmtId="2" fontId="4" fillId="5" borderId="4" xfId="0" applyNumberFormat="1" applyFont="1" applyFill="1" applyBorder="1" applyAlignment="1">
      <alignment horizontal="left" vertical="top" wrapText="1"/>
    </xf>
    <xf numFmtId="2" fontId="4" fillId="6" borderId="4" xfId="0" applyNumberFormat="1" applyFont="1" applyFill="1" applyBorder="1" applyAlignment="1">
      <alignment horizontal="left" vertical="top" wrapText="1"/>
    </xf>
    <xf numFmtId="0" fontId="4" fillId="7" borderId="4" xfId="0" applyFont="1" applyFill="1" applyBorder="1" applyAlignment="1">
      <alignment horizontal="left" vertical="top" wrapText="1"/>
    </xf>
    <xf numFmtId="2" fontId="4" fillId="8" borderId="4" xfId="0" applyNumberFormat="1" applyFont="1" applyFill="1" applyBorder="1" applyAlignment="1">
      <alignment horizontal="left" vertical="top" wrapText="1"/>
    </xf>
    <xf numFmtId="0" fontId="4" fillId="8" borderId="4" xfId="0" applyFont="1" applyFill="1" applyBorder="1" applyAlignment="1">
      <alignment horizontal="left" vertical="top" wrapText="1"/>
    </xf>
    <xf numFmtId="2" fontId="4" fillId="3" borderId="4" xfId="0" applyNumberFormat="1" applyFont="1" applyFill="1" applyBorder="1" applyAlignment="1">
      <alignment horizontal="left" vertical="top" wrapText="1"/>
    </xf>
    <xf numFmtId="2" fontId="4" fillId="9" borderId="4" xfId="0" applyNumberFormat="1" applyFont="1" applyFill="1" applyBorder="1" applyAlignment="1">
      <alignment horizontal="left" vertical="top" wrapText="1"/>
    </xf>
    <xf numFmtId="2" fontId="4" fillId="4" borderId="4" xfId="0" applyNumberFormat="1" applyFont="1" applyFill="1" applyBorder="1" applyAlignment="1">
      <alignment horizontal="left" vertical="top" wrapText="1"/>
    </xf>
    <xf numFmtId="0" fontId="1" fillId="0" borderId="4" xfId="2" applyFont="1" applyBorder="1" applyAlignment="1">
      <alignment horizontal="left" vertical="top" wrapText="1"/>
    </xf>
    <xf numFmtId="2" fontId="4" fillId="3" borderId="4" xfId="3" applyNumberFormat="1" applyFont="1" applyFill="1" applyBorder="1" applyAlignment="1">
      <alignment horizontal="left" vertical="top" wrapText="1"/>
    </xf>
    <xf numFmtId="2" fontId="4" fillId="4" borderId="4" xfId="3" applyNumberFormat="1" applyFont="1" applyFill="1" applyBorder="1" applyAlignment="1">
      <alignment horizontal="left" vertical="top" wrapText="1"/>
    </xf>
    <xf numFmtId="0" fontId="6" fillId="5" borderId="8" xfId="0" applyFont="1" applyFill="1" applyBorder="1" applyAlignment="1">
      <alignment horizontal="center" vertical="center"/>
    </xf>
    <xf numFmtId="0" fontId="6" fillId="5" borderId="9" xfId="0" applyFont="1" applyFill="1" applyBorder="1" applyAlignment="1">
      <alignment horizontal="center" vertical="center"/>
    </xf>
    <xf numFmtId="0" fontId="6" fillId="3" borderId="8" xfId="0" applyFont="1" applyFill="1" applyBorder="1" applyAlignment="1">
      <alignment horizontal="center" vertical="center"/>
    </xf>
    <xf numFmtId="0" fontId="6" fillId="3" borderId="9"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9" xfId="0" applyFont="1" applyFill="1" applyBorder="1" applyAlignment="1">
      <alignment horizontal="center" vertical="center"/>
    </xf>
    <xf numFmtId="0" fontId="6" fillId="4" borderId="10" xfId="0" applyFont="1" applyFill="1" applyBorder="1" applyAlignment="1">
      <alignment horizontal="center" vertical="center"/>
    </xf>
    <xf numFmtId="0" fontId="6" fillId="9" borderId="8" xfId="0" applyFont="1" applyFill="1" applyBorder="1" applyAlignment="1">
      <alignment horizontal="center" vertical="center"/>
    </xf>
    <xf numFmtId="0" fontId="6" fillId="9" borderId="9" xfId="0" applyFont="1" applyFill="1" applyBorder="1" applyAlignment="1">
      <alignment horizontal="center" vertical="center"/>
    </xf>
    <xf numFmtId="0" fontId="6" fillId="6" borderId="4" xfId="0" applyFont="1" applyFill="1" applyBorder="1" applyAlignment="1">
      <alignment horizontal="center" vertical="center"/>
    </xf>
    <xf numFmtId="0" fontId="6" fillId="7" borderId="4" xfId="0" applyFont="1" applyFill="1" applyBorder="1" applyAlignment="1">
      <alignment horizontal="center" vertical="center"/>
    </xf>
    <xf numFmtId="0" fontId="6" fillId="8" borderId="8" xfId="0" applyFont="1" applyFill="1" applyBorder="1" applyAlignment="1">
      <alignment horizontal="center" vertical="center"/>
    </xf>
    <xf numFmtId="0" fontId="6" fillId="8" borderId="9" xfId="0" applyFont="1" applyFill="1" applyBorder="1" applyAlignment="1">
      <alignment horizontal="center" vertical="center"/>
    </xf>
    <xf numFmtId="0" fontId="6" fillId="8" borderId="10" xfId="0" applyFont="1" applyFill="1" applyBorder="1" applyAlignment="1">
      <alignment horizontal="center" vertical="center"/>
    </xf>
    <xf numFmtId="0" fontId="6" fillId="2" borderId="4" xfId="0" applyFont="1" applyFill="1" applyBorder="1" applyAlignment="1">
      <alignment horizontal="center" vertical="center"/>
    </xf>
    <xf numFmtId="0" fontId="7" fillId="2" borderId="4" xfId="0" applyFont="1" applyFill="1" applyBorder="1" applyAlignment="1">
      <alignment horizontal="center" vertical="center"/>
    </xf>
    <xf numFmtId="0" fontId="7" fillId="2" borderId="3" xfId="0" applyFont="1" applyFill="1" applyBorder="1" applyAlignment="1">
      <alignment horizontal="center" vertical="center"/>
    </xf>
    <xf numFmtId="0" fontId="6" fillId="3" borderId="4" xfId="0" applyFont="1" applyFill="1" applyBorder="1" applyAlignment="1">
      <alignment horizontal="center" vertical="center"/>
    </xf>
    <xf numFmtId="0" fontId="7" fillId="3" borderId="4" xfId="0" applyFont="1" applyFill="1" applyBorder="1" applyAlignment="1">
      <alignment horizontal="center" vertical="center"/>
    </xf>
    <xf numFmtId="0" fontId="7" fillId="3" borderId="3" xfId="0" applyFont="1" applyFill="1" applyBorder="1" applyAlignment="1">
      <alignment horizontal="center" vertical="center"/>
    </xf>
    <xf numFmtId="0" fontId="6" fillId="4" borderId="4" xfId="0" applyFont="1" applyFill="1" applyBorder="1" applyAlignment="1">
      <alignment horizontal="center" vertical="center"/>
    </xf>
    <xf numFmtId="0" fontId="6" fillId="4" borderId="3" xfId="0" applyFont="1" applyFill="1" applyBorder="1" applyAlignment="1">
      <alignment horizontal="center" vertical="center"/>
    </xf>
    <xf numFmtId="0" fontId="6" fillId="5" borderId="4" xfId="0" applyFont="1" applyFill="1" applyBorder="1" applyAlignment="1">
      <alignment horizontal="center" vertical="center"/>
    </xf>
  </cellXfs>
  <cellStyles count="4">
    <cellStyle name="Hyperlink" xfId="1" builtinId="8"/>
    <cellStyle name="Normal" xfId="0" builtinId="0"/>
    <cellStyle name="Normal 2" xfId="3" xr:uid="{72BC8ED2-4200-4FCB-8B7E-1F4386C1487F}"/>
    <cellStyle name="Normal 2 2" xfId="2" xr:uid="{0EEF4167-D799-4D1A-8816-B10D23EA61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arlis.am/Annexes/4/elektr_com_en.pdf" TargetMode="External"/><Relationship Id="rId21" Type="http://schemas.openxmlformats.org/officeDocument/2006/relationships/hyperlink" Target="https://www.ecolex.org/details/legislation/law-of-the-republic-of-armenia-on-the-regulatory-body-for-public-services-lex-faoc067099/" TargetMode="External"/><Relationship Id="rId42" Type="http://schemas.openxmlformats.org/officeDocument/2006/relationships/hyperlink" Target="https://www.trade.gov/country-commercial-guides/armenia-ecommerce" TargetMode="External"/><Relationship Id="rId47" Type="http://schemas.openxmlformats.org/officeDocument/2006/relationships/hyperlink" Target="http://www.parliament.am/law_docs/211204HO150eng.pdf" TargetMode="External"/><Relationship Id="rId63" Type="http://schemas.openxmlformats.org/officeDocument/2006/relationships/hyperlink" Target="http://www.parliament.am/law_docs/270601HO193eng.pdf?lang=eng" TargetMode="External"/><Relationship Id="rId68" Type="http://schemas.openxmlformats.org/officeDocument/2006/relationships/hyperlink" Target="https://www.moj.am/en/structures/view/structure/32" TargetMode="External"/><Relationship Id="rId84" Type="http://schemas.openxmlformats.org/officeDocument/2006/relationships/hyperlink" Target="https://www.arlis.am/Annexes/4/elektr_com_en.pdf" TargetMode="External"/><Relationship Id="rId89" Type="http://schemas.openxmlformats.org/officeDocument/2006/relationships/hyperlink" Target="https://www.wto.org/english/thewto_e/acc_e/kaz_e/wtacckaz85_leg_1.pdf" TargetMode="External"/><Relationship Id="rId16" Type="http://schemas.openxmlformats.org/officeDocument/2006/relationships/hyperlink" Target="https://wipolex.wipo.int/en/treaties/ShowResults?search_what=C&amp;treaty_id=16" TargetMode="External"/><Relationship Id="rId11" Type="http://schemas.openxmlformats.org/officeDocument/2006/relationships/hyperlink" Target="https://aipo.am/hy/pages/show/patentlaw" TargetMode="External"/><Relationship Id="rId32" Type="http://schemas.openxmlformats.org/officeDocument/2006/relationships/hyperlink" Target="https://nvlpubs.nist.gov/nistpubs/ir/2021/NIST.IR.8319.pdf" TargetMode="External"/><Relationship Id="rId37" Type="http://schemas.openxmlformats.org/officeDocument/2006/relationships/hyperlink" Target="https://www.arlis.am/" TargetMode="External"/><Relationship Id="rId53" Type="http://schemas.openxmlformats.org/officeDocument/2006/relationships/hyperlink" Target="http://www.parliament.am/law_docs/211204HO150eng.pdf" TargetMode="External"/><Relationship Id="rId58" Type="http://schemas.openxmlformats.org/officeDocument/2006/relationships/hyperlink" Target="http://www.parliament.am/law_docs/211204HO150eng.pdf" TargetMode="External"/><Relationship Id="rId74" Type="http://schemas.openxmlformats.org/officeDocument/2006/relationships/hyperlink" Target="http://www.parliament.am/law_docs/010998HO248eng.pdf?lang=eng" TargetMode="External"/><Relationship Id="rId79" Type="http://schemas.openxmlformats.org/officeDocument/2006/relationships/hyperlink" Target="https://www.arlis.am/Annexes/4/Law_Personal_data_protection_EN.pdf" TargetMode="External"/><Relationship Id="rId5" Type="http://schemas.openxmlformats.org/officeDocument/2006/relationships/hyperlink" Target="https://gnumner.minfin.am/website/images/original/0d2dc151.docx" TargetMode="External"/><Relationship Id="rId90" Type="http://schemas.openxmlformats.org/officeDocument/2006/relationships/hyperlink" Target="https://cbd.minjust.gov.kg/42" TargetMode="External"/><Relationship Id="rId22" Type="http://schemas.openxmlformats.org/officeDocument/2006/relationships/hyperlink" Target="https://www.arlis.am/Annexes/4/elektr_com_en.pdf" TargetMode="External"/><Relationship Id="rId27" Type="http://schemas.openxmlformats.org/officeDocument/2006/relationships/hyperlink" Target="http://www.parliament.am/legislation.php?sel=show&amp;ID=1464&amp;lang=eng" TargetMode="External"/><Relationship Id="rId43" Type="http://schemas.openxmlformats.org/officeDocument/2006/relationships/hyperlink" Target="http://www.parliament.am/legislation.php?sel=show&amp;ID=1890&amp;lang=eng" TargetMode="External"/><Relationship Id="rId48" Type="http://schemas.openxmlformats.org/officeDocument/2006/relationships/hyperlink" Target="https://www.arlis.am/DocumentView.aspx?docid=184274" TargetMode="External"/><Relationship Id="rId64" Type="http://schemas.openxmlformats.org/officeDocument/2006/relationships/hyperlink" Target="https://internews.org/resource/armenia-digital-threat-landscape-civil-society-media/" TargetMode="External"/><Relationship Id="rId69" Type="http://schemas.openxmlformats.org/officeDocument/2006/relationships/hyperlink" Target="https://www.arlis.am/Annexes/4/elektr_com_en.pdf" TargetMode="External"/><Relationship Id="rId8" Type="http://schemas.openxmlformats.org/officeDocument/2006/relationships/hyperlink" Target="https://www.arlis.am/DocumentView.aspx?DocID=173482" TargetMode="External"/><Relationship Id="rId51" Type="http://schemas.openxmlformats.org/officeDocument/2006/relationships/hyperlink" Target="http://www.parliament.am/law_docs/211204HO150eng.pdf" TargetMode="External"/><Relationship Id="rId72" Type="http://schemas.openxmlformats.org/officeDocument/2006/relationships/hyperlink" Target="https://www.moj.am/storage/uploads/Personal_data_protection_law_ENG_OFFICIAL.pdf" TargetMode="External"/><Relationship Id="rId80" Type="http://schemas.openxmlformats.org/officeDocument/2006/relationships/hyperlink" Target="http://www.parliament.am/law_docs/270601HO193eng.pdf?lang=eng" TargetMode="External"/><Relationship Id="rId85" Type="http://schemas.openxmlformats.org/officeDocument/2006/relationships/hyperlink" Target="https://remedies.eaeunion.org/dimd/ru/security/actions/card/65f1a956b672cc55b9acf71c" TargetMode="External"/><Relationship Id="rId93" Type="http://schemas.openxmlformats.org/officeDocument/2006/relationships/hyperlink" Target="https://www.mfa.am/filemanager/Statics/36_en.pdf" TargetMode="External"/><Relationship Id="rId3" Type="http://schemas.openxmlformats.org/officeDocument/2006/relationships/hyperlink" Target="https://gnumner.minfin.am/website/images/original/0d2dc151.docx" TargetMode="External"/><Relationship Id="rId12" Type="http://schemas.openxmlformats.org/officeDocument/2006/relationships/hyperlink" Target="https://aipo.am/hy/pages/show/patentlaw" TargetMode="External"/><Relationship Id="rId17" Type="http://schemas.openxmlformats.org/officeDocument/2006/relationships/hyperlink" Target="https://wipolex.wipo.int/en/treaties/ShowResults?search_what=C&amp;treaty_id=20" TargetMode="External"/><Relationship Id="rId25" Type="http://schemas.openxmlformats.org/officeDocument/2006/relationships/hyperlink" Target="https://www.arlis.am/Annexes/4/elektr_com_en.pdf" TargetMode="External"/><Relationship Id="rId33" Type="http://schemas.openxmlformats.org/officeDocument/2006/relationships/hyperlink" Target="https://www.arlis.am/DocumentView.aspx?docid=184274" TargetMode="External"/><Relationship Id="rId38" Type="http://schemas.openxmlformats.org/officeDocument/2006/relationships/hyperlink" Target="https://leap.unep.org/en/countries/am/national-legislation/law-trade-and-services" TargetMode="External"/><Relationship Id="rId46" Type="http://schemas.openxmlformats.org/officeDocument/2006/relationships/hyperlink" Target="https://cis-legislation.com/document.fwx?rgn=162217" TargetMode="External"/><Relationship Id="rId59" Type="http://schemas.openxmlformats.org/officeDocument/2006/relationships/hyperlink" Target="http://www.parliament.am/legislation.php?sel=show&amp;ID=1464&amp;lang=eng" TargetMode="External"/><Relationship Id="rId67" Type="http://schemas.openxmlformats.org/officeDocument/2006/relationships/hyperlink" Target="https://www.osf.am/wp-content/uploads/2016/12/Personal-Data-Protection_Visa-Liberalization_ENG.pdf" TargetMode="External"/><Relationship Id="rId20" Type="http://schemas.openxmlformats.org/officeDocument/2006/relationships/hyperlink" Target="https://erranet.org/member/psrc-armenia/" TargetMode="External"/><Relationship Id="rId41" Type="http://schemas.openxmlformats.org/officeDocument/2006/relationships/hyperlink" Target="https://www.wto.org/english/tratop_e/gproc_e/memobs_e.htm" TargetMode="External"/><Relationship Id="rId54" Type="http://schemas.openxmlformats.org/officeDocument/2006/relationships/hyperlink" Target="https://www.arlis.am/DocumentView.aspx?docid=184274" TargetMode="External"/><Relationship Id="rId62" Type="http://schemas.openxmlformats.org/officeDocument/2006/relationships/hyperlink" Target="http://wits.worldbank.org/WITS/" TargetMode="External"/><Relationship Id="rId70" Type="http://schemas.openxmlformats.org/officeDocument/2006/relationships/hyperlink" Target="https://digitalagenda.am/en/category/documents-en/" TargetMode="External"/><Relationship Id="rId75" Type="http://schemas.openxmlformats.org/officeDocument/2006/relationships/hyperlink" Target="https://leap.unep.org/en/countries/am/national-legislation/law-trade-and-services" TargetMode="External"/><Relationship Id="rId83" Type="http://schemas.openxmlformats.org/officeDocument/2006/relationships/hyperlink" Target="https://www.viva.am/en/about-us/viva-to-armenia/our-history" TargetMode="External"/><Relationship Id="rId88" Type="http://schemas.openxmlformats.org/officeDocument/2006/relationships/hyperlink" Target="https://www.alta.ru/tamdoc/24sr0087/" TargetMode="External"/><Relationship Id="rId91" Type="http://schemas.openxmlformats.org/officeDocument/2006/relationships/hyperlink" Target="https://www.wto.org/english/thewto_e/acc_e/arm_e/wtaccarm14_leg_3.pdf" TargetMode="External"/><Relationship Id="rId1" Type="http://schemas.openxmlformats.org/officeDocument/2006/relationships/hyperlink" Target="http://www.eurasiancommission.org/en/act/trade/catr/nontariff/Pages/ediny_perechen.aspx" TargetMode="External"/><Relationship Id="rId6" Type="http://schemas.openxmlformats.org/officeDocument/2006/relationships/hyperlink" Target="https://gnumner.minfin.am/website/images/original/0d2dc151.docx" TargetMode="External"/><Relationship Id="rId15" Type="http://schemas.openxmlformats.org/officeDocument/2006/relationships/hyperlink" Target="https://old.aipa.am/en/Copyrightlaw/" TargetMode="External"/><Relationship Id="rId23" Type="http://schemas.openxmlformats.org/officeDocument/2006/relationships/hyperlink" Target="https://www.arlis.am/Annexes/4/elektr_com_en.pdf" TargetMode="External"/><Relationship Id="rId28" Type="http://schemas.openxmlformats.org/officeDocument/2006/relationships/hyperlink" Target="https://www.arlis.am/Annexes/4/elektr_com_en.pdf" TargetMode="External"/><Relationship Id="rId36" Type="http://schemas.openxmlformats.org/officeDocument/2006/relationships/hyperlink" Target="https://www.mfa.am/filemanager/Statics/36_en.pdf" TargetMode="External"/><Relationship Id="rId49" Type="http://schemas.openxmlformats.org/officeDocument/2006/relationships/hyperlink" Target="http://www.parliament.am/law_docs/211204HO150eng.pdf" TargetMode="External"/><Relationship Id="rId57" Type="http://schemas.openxmlformats.org/officeDocument/2006/relationships/hyperlink" Target="https://www.arlis.am/DocumentView.aspx?docid=184274" TargetMode="External"/><Relationship Id="rId10" Type="http://schemas.openxmlformats.org/officeDocument/2006/relationships/hyperlink" Target="https://aipo.am/hy/pages/show/patentlaw" TargetMode="External"/><Relationship Id="rId31" Type="http://schemas.openxmlformats.org/officeDocument/2006/relationships/hyperlink" Target="https://www.vertic.org/media/National%20Legislation/Armenia/AM_Law_export_dual_use.pdf" TargetMode="External"/><Relationship Id="rId44" Type="http://schemas.openxmlformats.org/officeDocument/2006/relationships/hyperlink" Target="http://www.parliament.am/law_docs/090800HO83eng.pdf" TargetMode="External"/><Relationship Id="rId52" Type="http://schemas.openxmlformats.org/officeDocument/2006/relationships/hyperlink" Target="https://www.arlis.am/DocumentView.aspx?docid=184274" TargetMode="External"/><Relationship Id="rId60" Type="http://schemas.openxmlformats.org/officeDocument/2006/relationships/hyperlink" Target="https://www.arlis.am/Annexes/4/elektr_com_en.pdf" TargetMode="External"/><Relationship Id="rId65" Type="http://schemas.openxmlformats.org/officeDocument/2006/relationships/hyperlink" Target="https://www.legal500.com/guides/chapter/armenia-data-protection-cybersecurity/" TargetMode="External"/><Relationship Id="rId73" Type="http://schemas.openxmlformats.org/officeDocument/2006/relationships/hyperlink" Target="https://www.arlis.am/Annexes/4/Law_Personal_data_protection_EN.pdf" TargetMode="External"/><Relationship Id="rId78" Type="http://schemas.openxmlformats.org/officeDocument/2006/relationships/hyperlink" Target="https://www.arlis.am/Annexes/4/Law_Personal_data_protection_EN.pdf" TargetMode="External"/><Relationship Id="rId81" Type="http://schemas.openxmlformats.org/officeDocument/2006/relationships/hyperlink" Target="https://aipo.am/en/pages/show/TMPP" TargetMode="External"/><Relationship Id="rId86" Type="http://schemas.openxmlformats.org/officeDocument/2006/relationships/hyperlink" Target="https://docs.eaeunion.org/docs/ru-ru/01527359/err_24092020_115" TargetMode="External"/><Relationship Id="rId4" Type="http://schemas.openxmlformats.org/officeDocument/2006/relationships/hyperlink" Target="https://gnumner.minfin.am/website/images/original/0d2dc151.docx" TargetMode="External"/><Relationship Id="rId9" Type="http://schemas.openxmlformats.org/officeDocument/2006/relationships/hyperlink" Target="https://www.arlis.am/" TargetMode="External"/><Relationship Id="rId13" Type="http://schemas.openxmlformats.org/officeDocument/2006/relationships/hyperlink" Target="https://www.wipo.int/pct/en/pct_contracting_states.html" TargetMode="External"/><Relationship Id="rId18" Type="http://schemas.openxmlformats.org/officeDocument/2006/relationships/hyperlink" Target="https://www.wipo.int/wipolex/en/legislation/details/7429" TargetMode="External"/><Relationship Id="rId39" Type="http://schemas.openxmlformats.org/officeDocument/2006/relationships/hyperlink" Target="http://www.parliament.am/law_docs/010998HO248eng.pdf?lang=eng" TargetMode="External"/><Relationship Id="rId34" Type="http://schemas.openxmlformats.org/officeDocument/2006/relationships/hyperlink" Target="http://www.parliament.am/law_docs/211204HO135eng.pdf?lang=eng" TargetMode="External"/><Relationship Id="rId50" Type="http://schemas.openxmlformats.org/officeDocument/2006/relationships/hyperlink" Target="https://www.arlis.am/DocumentView.aspx?docid=184274" TargetMode="External"/><Relationship Id="rId55" Type="http://schemas.openxmlformats.org/officeDocument/2006/relationships/hyperlink" Target="http://www.parliament.am/law_docs/211204HO150eng.pdf" TargetMode="External"/><Relationship Id="rId76" Type="http://schemas.openxmlformats.org/officeDocument/2006/relationships/hyperlink" Target="https://www.arlis.am/Annexes/4/Law_Personal_data_protection_EN.pdf" TargetMode="External"/><Relationship Id="rId7" Type="http://schemas.openxmlformats.org/officeDocument/2006/relationships/hyperlink" Target="https://aipo.am/en/pages/show/TMPP" TargetMode="External"/><Relationship Id="rId71" Type="http://schemas.openxmlformats.org/officeDocument/2006/relationships/hyperlink" Target="https://www.moj.am/storage/uploads/Personal_data_protection_law_ENG_OFFICIAL.pdf" TargetMode="External"/><Relationship Id="rId92" Type="http://schemas.openxmlformats.org/officeDocument/2006/relationships/hyperlink" Target="http://www.parliament.am/law_docs/031299HO18eng.pdf?lang=eng" TargetMode="External"/><Relationship Id="rId2" Type="http://schemas.openxmlformats.org/officeDocument/2006/relationships/hyperlink" Target="http://www.eurasiancommission.org/en/act/trade/catr/nontariff/Pages/ediny_perechen.aspx" TargetMode="External"/><Relationship Id="rId29" Type="http://schemas.openxmlformats.org/officeDocument/2006/relationships/hyperlink" Target="https://www.arlis.am/Annexes/4/elektr_com_en.pdf" TargetMode="External"/><Relationship Id="rId24" Type="http://schemas.openxmlformats.org/officeDocument/2006/relationships/hyperlink" Target="https://www.arlis.am/Annexes/4/elektr_com_en.pdf" TargetMode="External"/><Relationship Id="rId40" Type="http://schemas.openxmlformats.org/officeDocument/2006/relationships/hyperlink" Target="https://cis-legislation.com/document.fwx?rgn=27341" TargetMode="External"/><Relationship Id="rId45" Type="http://schemas.openxmlformats.org/officeDocument/2006/relationships/hyperlink" Target="https://cis-legislation.com/document.fwx?rgn=162217" TargetMode="External"/><Relationship Id="rId66" Type="http://schemas.openxmlformats.org/officeDocument/2006/relationships/hyperlink" Target="https://cis-legislation.com/document.fwx?rgn=27341" TargetMode="External"/><Relationship Id="rId87" Type="http://schemas.openxmlformats.org/officeDocument/2006/relationships/hyperlink" Target="https://www.alta.ru/tamdoc/17sr0107/" TargetMode="External"/><Relationship Id="rId61" Type="http://schemas.openxmlformats.org/officeDocument/2006/relationships/hyperlink" Target="http://wits.worldbank.org/WITS/" TargetMode="External"/><Relationship Id="rId82" Type="http://schemas.openxmlformats.org/officeDocument/2006/relationships/hyperlink" Target="https://aipo.am/en/pages/show/TMPP" TargetMode="External"/><Relationship Id="rId19" Type="http://schemas.openxmlformats.org/officeDocument/2006/relationships/hyperlink" Target="https://leap.unep.org/en/countries/am/national-legislation/law-trade-and-services" TargetMode="External"/><Relationship Id="rId14" Type="http://schemas.openxmlformats.org/officeDocument/2006/relationships/hyperlink" Target="https://old.aipa.am/en/Copyrightlaw/" TargetMode="External"/><Relationship Id="rId30" Type="http://schemas.openxmlformats.org/officeDocument/2006/relationships/hyperlink" Target="https://www.arlis.am/Annexes/4/elektr_com_en.pdf" TargetMode="External"/><Relationship Id="rId35" Type="http://schemas.openxmlformats.org/officeDocument/2006/relationships/hyperlink" Target="https://www.arlis.am/Annexes/4/elektr_com_en.pdf" TargetMode="External"/><Relationship Id="rId56" Type="http://schemas.openxmlformats.org/officeDocument/2006/relationships/hyperlink" Target="https://www.translation-centre.am/pdf/Trans_ru/HH_Orenq/Law_Maksain_Karg/HO-241-N_280916_en.pdf" TargetMode="External"/><Relationship Id="rId77" Type="http://schemas.openxmlformats.org/officeDocument/2006/relationships/hyperlink" Target="https://www.arlis.am/Annexes/4/Law_Personal_data_protection_EN.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312E8-AEB3-48C9-B9EC-8869393F328F}">
  <sheetPr codeName="Sheet3">
    <tabColor theme="4" tint="0.59999389629810485"/>
  </sheetPr>
  <dimension ref="A1:L95"/>
  <sheetViews>
    <sheetView tabSelected="1" topLeftCell="A91" zoomScale="90" zoomScaleNormal="90" workbookViewId="0">
      <selection activeCell="K94" sqref="K94:L94"/>
    </sheetView>
  </sheetViews>
  <sheetFormatPr defaultColWidth="12.59765625" defaultRowHeight="15.75" customHeight="1" x14ac:dyDescent="0.3"/>
  <cols>
    <col min="1" max="1" width="5.09765625" style="109" customWidth="1"/>
    <col min="2" max="2" width="6.5" style="110" customWidth="1"/>
    <col min="3" max="3" width="21.5" style="111" customWidth="1"/>
    <col min="4" max="4" width="10.19921875" style="112" customWidth="1"/>
    <col min="5" max="5" width="32" style="113" customWidth="1"/>
    <col min="6" max="6" width="98.3984375" style="110" customWidth="1"/>
    <col min="7" max="7" width="17.5" style="110" customWidth="1"/>
    <col min="8" max="8" width="27.09765625" style="110" customWidth="1"/>
    <col min="9" max="9" width="27.5" style="110" customWidth="1"/>
    <col min="10" max="10" width="23.09765625" style="110" customWidth="1"/>
    <col min="11" max="11" width="76.59765625" style="110" customWidth="1"/>
    <col min="12" max="12" width="56.3984375" style="110" customWidth="1"/>
  </cols>
  <sheetData>
    <row r="1" spans="1:12" ht="78.75" customHeight="1" x14ac:dyDescent="0.4">
      <c r="A1" s="1" t="s">
        <v>0</v>
      </c>
      <c r="B1" s="2" t="s">
        <v>1</v>
      </c>
      <c r="C1" s="125" t="s">
        <v>2</v>
      </c>
      <c r="D1" s="3" t="s">
        <v>3</v>
      </c>
      <c r="E1" s="1" t="s">
        <v>4</v>
      </c>
      <c r="F1" s="4" t="s">
        <v>5</v>
      </c>
      <c r="G1" s="4" t="s">
        <v>6</v>
      </c>
      <c r="H1" s="4" t="s">
        <v>7</v>
      </c>
      <c r="I1" s="4" t="s">
        <v>8</v>
      </c>
      <c r="J1" s="4" t="s">
        <v>9</v>
      </c>
      <c r="K1" s="5" t="s">
        <v>10</v>
      </c>
      <c r="L1" s="6" t="s">
        <v>11</v>
      </c>
    </row>
    <row r="2" spans="1:12" ht="38.1" customHeight="1" x14ac:dyDescent="0.3">
      <c r="A2" s="7">
        <v>1</v>
      </c>
      <c r="B2" s="8">
        <v>1.1000000000000001</v>
      </c>
      <c r="C2" s="116" t="s">
        <v>12</v>
      </c>
      <c r="D2" s="9">
        <f>IF(F2&lt;10,0.1*F2,IF(F2&gt;=10,1,"error"))</f>
        <v>0.18100000000000002</v>
      </c>
      <c r="E2" s="7" t="s">
        <v>13</v>
      </c>
      <c r="F2" s="7">
        <v>1.81</v>
      </c>
      <c r="G2" s="7" t="s">
        <v>14</v>
      </c>
      <c r="H2" s="10" t="s">
        <v>15</v>
      </c>
      <c r="I2" s="7"/>
      <c r="J2" s="7"/>
      <c r="K2" s="11"/>
      <c r="L2" s="142">
        <v>0.29199999999999998</v>
      </c>
    </row>
    <row r="3" spans="1:12" ht="45.6" x14ac:dyDescent="0.3">
      <c r="A3" s="7">
        <v>1</v>
      </c>
      <c r="B3" s="8">
        <v>1.2</v>
      </c>
      <c r="C3" s="116" t="s">
        <v>16</v>
      </c>
      <c r="D3" s="12">
        <f>IF(F3&lt;=30,1,IF((F3&gt;=70),0,IF(AND(F3&gt;30,F3&lt;70),(-0.025*F3+1.75),"error")))</f>
        <v>0.27949999999999986</v>
      </c>
      <c r="E3" s="7" t="s">
        <v>17</v>
      </c>
      <c r="F3" s="7">
        <v>58.82</v>
      </c>
      <c r="G3" s="7" t="s">
        <v>14</v>
      </c>
      <c r="H3" s="10" t="s">
        <v>15</v>
      </c>
      <c r="I3" s="7"/>
      <c r="J3" s="7"/>
      <c r="K3" s="11"/>
      <c r="L3" s="143"/>
    </row>
    <row r="4" spans="1:12" ht="68.400000000000006" x14ac:dyDescent="0.3">
      <c r="A4" s="7">
        <v>1</v>
      </c>
      <c r="B4" s="8">
        <v>1.3</v>
      </c>
      <c r="C4" s="116" t="s">
        <v>18</v>
      </c>
      <c r="D4" s="12">
        <v>1</v>
      </c>
      <c r="E4" s="7" t="s">
        <v>19</v>
      </c>
      <c r="F4" s="7" t="s">
        <v>20</v>
      </c>
      <c r="G4" s="7" t="s">
        <v>21</v>
      </c>
      <c r="H4" s="7" t="s">
        <v>22</v>
      </c>
      <c r="I4" s="7"/>
      <c r="J4" s="7"/>
      <c r="K4" s="11"/>
      <c r="L4" s="143"/>
    </row>
    <row r="5" spans="1:12" ht="180" customHeight="1" x14ac:dyDescent="0.3">
      <c r="A5" s="7">
        <v>1</v>
      </c>
      <c r="B5" s="8">
        <v>1.4</v>
      </c>
      <c r="C5" s="116" t="s">
        <v>23</v>
      </c>
      <c r="D5" s="12">
        <v>0.25</v>
      </c>
      <c r="E5" s="13" t="s">
        <v>24</v>
      </c>
      <c r="F5" s="14" t="s">
        <v>25</v>
      </c>
      <c r="G5" s="14" t="s">
        <v>26</v>
      </c>
      <c r="H5" s="15" t="s">
        <v>27</v>
      </c>
      <c r="I5" s="15" t="s">
        <v>28</v>
      </c>
      <c r="J5" s="7"/>
      <c r="K5" s="11"/>
      <c r="L5" s="143"/>
    </row>
    <row r="6" spans="1:12" ht="96" customHeight="1" x14ac:dyDescent="0.3">
      <c r="A6" s="7">
        <v>1</v>
      </c>
      <c r="B6" s="8">
        <v>1.4</v>
      </c>
      <c r="C6" s="116" t="s">
        <v>23</v>
      </c>
      <c r="D6" s="12">
        <v>0</v>
      </c>
      <c r="E6" s="7" t="s">
        <v>29</v>
      </c>
      <c r="F6" s="7" t="s">
        <v>30</v>
      </c>
      <c r="G6" s="7" t="s">
        <v>31</v>
      </c>
      <c r="H6" s="16" t="s">
        <v>32</v>
      </c>
      <c r="I6" s="17"/>
      <c r="J6" s="18"/>
      <c r="K6" s="11"/>
      <c r="L6" s="144"/>
    </row>
    <row r="7" spans="1:12" ht="102.6" x14ac:dyDescent="0.3">
      <c r="A7" s="19">
        <v>2</v>
      </c>
      <c r="B7" s="20">
        <v>2.1</v>
      </c>
      <c r="C7" s="126" t="s">
        <v>33</v>
      </c>
      <c r="D7" s="21">
        <v>0</v>
      </c>
      <c r="E7" s="19" t="s">
        <v>34</v>
      </c>
      <c r="F7" s="19" t="s">
        <v>35</v>
      </c>
      <c r="G7" s="19" t="s">
        <v>36</v>
      </c>
      <c r="H7" s="22" t="s">
        <v>37</v>
      </c>
      <c r="I7" s="19"/>
      <c r="J7" s="19"/>
      <c r="K7" s="23"/>
      <c r="L7" s="145">
        <v>0.192</v>
      </c>
    </row>
    <row r="8" spans="1:12" ht="91.2" x14ac:dyDescent="0.3">
      <c r="A8" s="19">
        <v>2</v>
      </c>
      <c r="B8" s="20">
        <v>2.2000000000000002</v>
      </c>
      <c r="C8" s="122" t="s">
        <v>38</v>
      </c>
      <c r="D8" s="21">
        <v>0</v>
      </c>
      <c r="E8" s="19" t="s">
        <v>34</v>
      </c>
      <c r="F8" s="19" t="s">
        <v>39</v>
      </c>
      <c r="G8" s="19" t="s">
        <v>36</v>
      </c>
      <c r="H8" s="22" t="s">
        <v>37</v>
      </c>
      <c r="I8" s="19"/>
      <c r="J8" s="19"/>
      <c r="K8" s="23"/>
      <c r="L8" s="146"/>
    </row>
    <row r="9" spans="1:12" ht="79.8" x14ac:dyDescent="0.3">
      <c r="A9" s="19">
        <v>2</v>
      </c>
      <c r="B9" s="20">
        <v>2.2999999999999998</v>
      </c>
      <c r="C9" s="122" t="s">
        <v>40</v>
      </c>
      <c r="D9" s="21">
        <v>1</v>
      </c>
      <c r="E9" s="19" t="s">
        <v>34</v>
      </c>
      <c r="F9" s="19" t="s">
        <v>41</v>
      </c>
      <c r="G9" s="19" t="s">
        <v>36</v>
      </c>
      <c r="H9" s="22" t="s">
        <v>37</v>
      </c>
      <c r="I9" s="19"/>
      <c r="J9" s="19"/>
      <c r="K9" s="23"/>
      <c r="L9" s="146"/>
    </row>
    <row r="10" spans="1:12" ht="68.400000000000006" x14ac:dyDescent="0.3">
      <c r="A10" s="19">
        <v>2</v>
      </c>
      <c r="B10" s="20">
        <v>2.4</v>
      </c>
      <c r="C10" s="122" t="s">
        <v>42</v>
      </c>
      <c r="D10" s="21">
        <v>0.5</v>
      </c>
      <c r="E10" s="19" t="s">
        <v>43</v>
      </c>
      <c r="F10" s="19" t="s">
        <v>44</v>
      </c>
      <c r="G10" s="19" t="s">
        <v>45</v>
      </c>
      <c r="H10" s="22" t="s">
        <v>46</v>
      </c>
      <c r="I10" s="19"/>
      <c r="J10" s="19"/>
      <c r="K10" s="23"/>
      <c r="L10" s="147"/>
    </row>
    <row r="11" spans="1:12" ht="79.8" x14ac:dyDescent="0.3">
      <c r="A11" s="24">
        <v>3</v>
      </c>
      <c r="B11" s="25">
        <v>3.1</v>
      </c>
      <c r="C11" s="127" t="s">
        <v>47</v>
      </c>
      <c r="D11" s="26">
        <v>0</v>
      </c>
      <c r="E11" s="24" t="s">
        <v>48</v>
      </c>
      <c r="F11" s="24" t="s">
        <v>49</v>
      </c>
      <c r="G11" s="24" t="s">
        <v>50</v>
      </c>
      <c r="H11" s="27" t="s">
        <v>51</v>
      </c>
      <c r="I11" s="24"/>
      <c r="J11" s="24"/>
      <c r="K11" s="28"/>
      <c r="L11" s="148">
        <v>0.375</v>
      </c>
    </row>
    <row r="12" spans="1:12" ht="79.8" x14ac:dyDescent="0.3">
      <c r="A12" s="24">
        <v>3</v>
      </c>
      <c r="B12" s="25">
        <v>3.2</v>
      </c>
      <c r="C12" s="124" t="s">
        <v>52</v>
      </c>
      <c r="D12" s="26">
        <v>0</v>
      </c>
      <c r="E12" s="24" t="s">
        <v>53</v>
      </c>
      <c r="F12" s="24" t="s">
        <v>54</v>
      </c>
      <c r="G12" s="24" t="s">
        <v>55</v>
      </c>
      <c r="H12" s="27" t="s">
        <v>56</v>
      </c>
      <c r="I12" s="24"/>
      <c r="J12" s="24"/>
      <c r="K12" s="28"/>
      <c r="L12" s="148"/>
    </row>
    <row r="13" spans="1:12" ht="79.8" x14ac:dyDescent="0.3">
      <c r="A13" s="24">
        <v>3</v>
      </c>
      <c r="B13" s="25">
        <v>3.3</v>
      </c>
      <c r="C13" s="124" t="s">
        <v>57</v>
      </c>
      <c r="D13" s="26">
        <v>0</v>
      </c>
      <c r="E13" s="24" t="s">
        <v>48</v>
      </c>
      <c r="F13" s="29" t="s">
        <v>58</v>
      </c>
      <c r="G13" s="24" t="s">
        <v>50</v>
      </c>
      <c r="H13" s="27" t="s">
        <v>59</v>
      </c>
      <c r="I13" s="30"/>
      <c r="J13" s="24"/>
      <c r="K13" s="28"/>
      <c r="L13" s="148"/>
    </row>
    <row r="14" spans="1:12" ht="148.19999999999999" x14ac:dyDescent="0.3">
      <c r="A14" s="24">
        <v>3</v>
      </c>
      <c r="B14" s="25">
        <v>3.4</v>
      </c>
      <c r="C14" s="124" t="s">
        <v>60</v>
      </c>
      <c r="D14" s="26">
        <v>0.25</v>
      </c>
      <c r="E14" s="24" t="s">
        <v>48</v>
      </c>
      <c r="F14" s="24" t="s">
        <v>61</v>
      </c>
      <c r="G14" s="24" t="s">
        <v>50</v>
      </c>
      <c r="H14" s="27" t="s">
        <v>62</v>
      </c>
      <c r="I14" s="24"/>
      <c r="J14" s="24"/>
      <c r="K14" s="28"/>
      <c r="L14" s="148"/>
    </row>
    <row r="15" spans="1:12" ht="60" customHeight="1" x14ac:dyDescent="0.3">
      <c r="A15" s="24">
        <v>3</v>
      </c>
      <c r="B15" s="25">
        <v>3.5</v>
      </c>
      <c r="C15" s="124" t="s">
        <v>63</v>
      </c>
      <c r="D15" s="26">
        <v>0</v>
      </c>
      <c r="E15" s="29" t="s">
        <v>64</v>
      </c>
      <c r="F15" s="24" t="s">
        <v>65</v>
      </c>
      <c r="G15" s="24" t="s">
        <v>66</v>
      </c>
      <c r="H15" s="27" t="s">
        <v>67</v>
      </c>
      <c r="I15" s="31" t="s">
        <v>68</v>
      </c>
      <c r="J15" s="24"/>
      <c r="K15" s="28"/>
      <c r="L15" s="149"/>
    </row>
    <row r="16" spans="1:12" ht="219" customHeight="1" x14ac:dyDescent="0.3">
      <c r="A16" s="32">
        <v>4</v>
      </c>
      <c r="B16" s="33">
        <v>4.01</v>
      </c>
      <c r="C16" s="117" t="s">
        <v>69</v>
      </c>
      <c r="D16" s="34">
        <v>1</v>
      </c>
      <c r="E16" s="32" t="s">
        <v>70</v>
      </c>
      <c r="F16" s="32" t="s">
        <v>71</v>
      </c>
      <c r="G16" s="32" t="s">
        <v>72</v>
      </c>
      <c r="H16" s="35" t="s">
        <v>73</v>
      </c>
      <c r="I16" s="32"/>
      <c r="J16" s="32"/>
      <c r="K16" s="36"/>
      <c r="L16" s="150" t="s">
        <v>74</v>
      </c>
    </row>
    <row r="17" spans="1:12" ht="266.10000000000002" customHeight="1" x14ac:dyDescent="0.3">
      <c r="A17" s="32">
        <v>4</v>
      </c>
      <c r="B17" s="37">
        <v>4.2</v>
      </c>
      <c r="C17" s="117" t="s">
        <v>75</v>
      </c>
      <c r="D17" s="34">
        <v>0</v>
      </c>
      <c r="E17" s="32" t="s">
        <v>70</v>
      </c>
      <c r="F17" s="32" t="s">
        <v>76</v>
      </c>
      <c r="G17" s="32" t="s">
        <v>72</v>
      </c>
      <c r="H17" s="35" t="s">
        <v>73</v>
      </c>
      <c r="I17" s="32"/>
      <c r="J17" s="32"/>
      <c r="K17" s="36"/>
      <c r="L17" s="150"/>
    </row>
    <row r="18" spans="1:12" ht="256.5" customHeight="1" x14ac:dyDescent="0.3">
      <c r="A18" s="32">
        <v>4</v>
      </c>
      <c r="B18" s="37">
        <v>4.2</v>
      </c>
      <c r="C18" s="117" t="s">
        <v>75</v>
      </c>
      <c r="D18" s="34">
        <v>0</v>
      </c>
      <c r="E18" s="32" t="s">
        <v>70</v>
      </c>
      <c r="F18" s="32" t="s">
        <v>77</v>
      </c>
      <c r="G18" s="32" t="s">
        <v>72</v>
      </c>
      <c r="H18" s="35" t="s">
        <v>73</v>
      </c>
      <c r="I18" s="32"/>
      <c r="J18" s="32"/>
      <c r="K18" s="36"/>
      <c r="L18" s="150"/>
    </row>
    <row r="19" spans="1:12" ht="22.8" x14ac:dyDescent="0.3">
      <c r="A19" s="32">
        <v>4</v>
      </c>
      <c r="B19" s="37">
        <v>4.3</v>
      </c>
      <c r="C19" s="117" t="s">
        <v>78</v>
      </c>
      <c r="D19" s="34">
        <v>0</v>
      </c>
      <c r="E19" s="32" t="s">
        <v>79</v>
      </c>
      <c r="F19" s="32" t="s">
        <v>79</v>
      </c>
      <c r="G19" s="32" t="s">
        <v>80</v>
      </c>
      <c r="H19" s="35" t="s">
        <v>81</v>
      </c>
      <c r="I19" s="32"/>
      <c r="J19" s="32"/>
      <c r="K19" s="36"/>
      <c r="L19" s="150"/>
    </row>
    <row r="20" spans="1:12" ht="91.2" x14ac:dyDescent="0.3">
      <c r="A20" s="32">
        <v>4</v>
      </c>
      <c r="B20" s="37">
        <v>4.4000000000000004</v>
      </c>
      <c r="C20" s="117" t="s">
        <v>82</v>
      </c>
      <c r="D20" s="34">
        <v>0</v>
      </c>
      <c r="E20" s="32" t="s">
        <v>83</v>
      </c>
      <c r="F20" s="32" t="s">
        <v>84</v>
      </c>
      <c r="G20" s="32" t="s">
        <v>85</v>
      </c>
      <c r="H20" s="35" t="s">
        <v>86</v>
      </c>
      <c r="I20" s="32"/>
      <c r="J20" s="32"/>
      <c r="K20" s="36"/>
      <c r="L20" s="150"/>
    </row>
    <row r="21" spans="1:12" ht="91.2" x14ac:dyDescent="0.3">
      <c r="A21" s="32">
        <v>4</v>
      </c>
      <c r="B21" s="37">
        <v>4.5</v>
      </c>
      <c r="C21" s="117" t="s">
        <v>87</v>
      </c>
      <c r="D21" s="34">
        <v>0</v>
      </c>
      <c r="E21" s="32" t="s">
        <v>83</v>
      </c>
      <c r="F21" s="32" t="s">
        <v>88</v>
      </c>
      <c r="G21" s="32" t="s">
        <v>85</v>
      </c>
      <c r="H21" s="35" t="s">
        <v>86</v>
      </c>
      <c r="I21" s="32"/>
      <c r="J21" s="32"/>
      <c r="K21" s="36"/>
      <c r="L21" s="150"/>
    </row>
    <row r="22" spans="1:12" ht="60" customHeight="1" x14ac:dyDescent="0.3">
      <c r="A22" s="32">
        <v>4</v>
      </c>
      <c r="B22" s="37">
        <v>4.5999999999999996</v>
      </c>
      <c r="C22" s="117" t="s">
        <v>78</v>
      </c>
      <c r="D22" s="34">
        <v>0</v>
      </c>
      <c r="E22" s="32" t="s">
        <v>89</v>
      </c>
      <c r="F22" s="32" t="s">
        <v>90</v>
      </c>
      <c r="G22" s="32" t="s">
        <v>91</v>
      </c>
      <c r="H22" s="35" t="s">
        <v>92</v>
      </c>
      <c r="I22" s="32"/>
      <c r="J22" s="32"/>
      <c r="K22" s="36"/>
      <c r="L22" s="150"/>
    </row>
    <row r="23" spans="1:12" ht="60" customHeight="1" x14ac:dyDescent="0.3">
      <c r="A23" s="32">
        <v>4</v>
      </c>
      <c r="B23" s="37">
        <v>4.7</v>
      </c>
      <c r="C23" s="117" t="s">
        <v>93</v>
      </c>
      <c r="D23" s="34">
        <v>0</v>
      </c>
      <c r="E23" s="32" t="s">
        <v>94</v>
      </c>
      <c r="F23" s="32" t="s">
        <v>95</v>
      </c>
      <c r="G23" s="32" t="s">
        <v>96</v>
      </c>
      <c r="H23" s="35" t="s">
        <v>97</v>
      </c>
      <c r="I23" s="32"/>
      <c r="J23" s="32"/>
      <c r="K23" s="36"/>
      <c r="L23" s="150"/>
    </row>
    <row r="24" spans="1:12" ht="60" customHeight="1" x14ac:dyDescent="0.3">
      <c r="A24" s="32">
        <v>4</v>
      </c>
      <c r="B24" s="37">
        <v>4.8</v>
      </c>
      <c r="C24" s="117" t="s">
        <v>98</v>
      </c>
      <c r="D24" s="34">
        <v>0</v>
      </c>
      <c r="E24" s="32" t="s">
        <v>99</v>
      </c>
      <c r="F24" s="32" t="s">
        <v>100</v>
      </c>
      <c r="G24" s="32" t="s">
        <v>101</v>
      </c>
      <c r="H24" s="35" t="s">
        <v>102</v>
      </c>
      <c r="I24" s="32"/>
      <c r="J24" s="32"/>
      <c r="K24" s="36"/>
      <c r="L24" s="150"/>
    </row>
    <row r="25" spans="1:12" ht="79.8" x14ac:dyDescent="0.3">
      <c r="A25" s="32">
        <v>4</v>
      </c>
      <c r="B25" s="37">
        <v>4.8</v>
      </c>
      <c r="C25" s="117" t="s">
        <v>98</v>
      </c>
      <c r="D25" s="34">
        <v>0</v>
      </c>
      <c r="E25" s="32" t="s">
        <v>53</v>
      </c>
      <c r="F25" s="32" t="s">
        <v>103</v>
      </c>
      <c r="G25" s="32" t="s">
        <v>55</v>
      </c>
      <c r="H25" s="35" t="s">
        <v>56</v>
      </c>
      <c r="I25" s="32"/>
      <c r="J25" s="32"/>
      <c r="K25" s="36"/>
      <c r="L25" s="150"/>
    </row>
    <row r="26" spans="1:12" ht="72" customHeight="1" x14ac:dyDescent="0.3">
      <c r="A26" s="32">
        <v>4</v>
      </c>
      <c r="B26" s="38">
        <v>4.9000000000000004</v>
      </c>
      <c r="C26" s="117" t="s">
        <v>104</v>
      </c>
      <c r="D26" s="34">
        <v>0</v>
      </c>
      <c r="E26" s="32" t="s">
        <v>105</v>
      </c>
      <c r="F26" s="32" t="s">
        <v>106</v>
      </c>
      <c r="G26" s="32" t="s">
        <v>107</v>
      </c>
      <c r="H26" s="35" t="s">
        <v>108</v>
      </c>
      <c r="I26" s="32"/>
      <c r="J26" s="32"/>
      <c r="K26" s="39"/>
      <c r="L26" s="150"/>
    </row>
    <row r="27" spans="1:12" ht="48" customHeight="1" x14ac:dyDescent="0.3">
      <c r="A27" s="32">
        <v>4</v>
      </c>
      <c r="B27" s="38">
        <v>4.9000000000000004</v>
      </c>
      <c r="C27" s="117" t="s">
        <v>104</v>
      </c>
      <c r="D27" s="34">
        <v>0</v>
      </c>
      <c r="E27" s="32" t="s">
        <v>99</v>
      </c>
      <c r="F27" s="32" t="s">
        <v>109</v>
      </c>
      <c r="G27" s="32" t="s">
        <v>101</v>
      </c>
      <c r="H27" s="35" t="s">
        <v>102</v>
      </c>
      <c r="I27" s="32"/>
      <c r="J27" s="32"/>
      <c r="K27" s="39"/>
      <c r="L27" s="150"/>
    </row>
    <row r="28" spans="1:12" ht="96" customHeight="1" x14ac:dyDescent="0.3">
      <c r="A28" s="32">
        <v>4</v>
      </c>
      <c r="B28" s="38">
        <v>4.9000000000000004</v>
      </c>
      <c r="C28" s="117" t="s">
        <v>104</v>
      </c>
      <c r="D28" s="34">
        <v>0</v>
      </c>
      <c r="E28" s="32" t="s">
        <v>53</v>
      </c>
      <c r="F28" s="32" t="s">
        <v>110</v>
      </c>
      <c r="G28" s="32" t="s">
        <v>55</v>
      </c>
      <c r="H28" s="35" t="s">
        <v>56</v>
      </c>
      <c r="I28" s="32"/>
      <c r="J28" s="32"/>
      <c r="K28" s="39"/>
      <c r="L28" s="150"/>
    </row>
    <row r="29" spans="1:12" ht="210.9" customHeight="1" x14ac:dyDescent="0.3">
      <c r="A29" s="40">
        <v>5</v>
      </c>
      <c r="B29" s="41">
        <v>5.0999999999999996</v>
      </c>
      <c r="C29" s="118" t="s">
        <v>111</v>
      </c>
      <c r="D29" s="42">
        <v>0.5</v>
      </c>
      <c r="E29" s="40" t="s">
        <v>112</v>
      </c>
      <c r="F29" s="40" t="s">
        <v>113</v>
      </c>
      <c r="G29" s="40" t="s">
        <v>114</v>
      </c>
      <c r="H29" s="43" t="s">
        <v>115</v>
      </c>
      <c r="I29" s="43"/>
      <c r="J29" s="44"/>
      <c r="K29" s="44"/>
      <c r="L29" s="137" t="s">
        <v>116</v>
      </c>
    </row>
    <row r="30" spans="1:12" ht="95.1" customHeight="1" x14ac:dyDescent="0.3">
      <c r="A30" s="40">
        <v>5</v>
      </c>
      <c r="B30" s="45">
        <v>5.2</v>
      </c>
      <c r="C30" s="118" t="s">
        <v>117</v>
      </c>
      <c r="D30" s="42">
        <v>0</v>
      </c>
      <c r="E30" s="46" t="s">
        <v>112</v>
      </c>
      <c r="F30" s="46" t="s">
        <v>118</v>
      </c>
      <c r="G30" s="46" t="s">
        <v>114</v>
      </c>
      <c r="H30" s="47" t="s">
        <v>115</v>
      </c>
      <c r="I30" s="43"/>
      <c r="J30" s="44"/>
      <c r="K30" s="44"/>
      <c r="L30" s="137"/>
    </row>
    <row r="31" spans="1:12" ht="48" customHeight="1" x14ac:dyDescent="0.3">
      <c r="A31" s="40">
        <v>5</v>
      </c>
      <c r="B31" s="41">
        <v>5.3</v>
      </c>
      <c r="C31" s="118" t="s">
        <v>119</v>
      </c>
      <c r="D31" s="42">
        <v>0.5</v>
      </c>
      <c r="E31" s="40" t="s">
        <v>120</v>
      </c>
      <c r="F31" s="40" t="s">
        <v>121</v>
      </c>
      <c r="G31" s="40" t="s">
        <v>122</v>
      </c>
      <c r="H31" s="43" t="s">
        <v>123</v>
      </c>
      <c r="I31" s="43"/>
      <c r="J31" s="45"/>
      <c r="K31" s="45"/>
      <c r="L31" s="137"/>
    </row>
    <row r="32" spans="1:12" ht="48" customHeight="1" x14ac:dyDescent="0.3">
      <c r="A32" s="40">
        <v>5</v>
      </c>
      <c r="B32" s="41">
        <v>5.3</v>
      </c>
      <c r="C32" s="118" t="s">
        <v>119</v>
      </c>
      <c r="D32" s="42">
        <v>0</v>
      </c>
      <c r="E32" s="40" t="s">
        <v>112</v>
      </c>
      <c r="F32" s="40" t="s">
        <v>124</v>
      </c>
      <c r="G32" s="40" t="s">
        <v>114</v>
      </c>
      <c r="H32" s="43" t="s">
        <v>115</v>
      </c>
      <c r="I32" s="43"/>
      <c r="J32" s="48"/>
      <c r="K32" s="40"/>
      <c r="L32" s="137"/>
    </row>
    <row r="33" spans="1:12" ht="136.80000000000001" x14ac:dyDescent="0.3">
      <c r="A33" s="40">
        <v>5</v>
      </c>
      <c r="B33" s="41">
        <v>5.4</v>
      </c>
      <c r="C33" s="118" t="s">
        <v>125</v>
      </c>
      <c r="D33" s="42">
        <v>0.5</v>
      </c>
      <c r="E33" s="40" t="s">
        <v>112</v>
      </c>
      <c r="F33" s="40" t="s">
        <v>126</v>
      </c>
      <c r="G33" s="40" t="s">
        <v>114</v>
      </c>
      <c r="H33" s="43" t="s">
        <v>115</v>
      </c>
      <c r="I33" s="43"/>
      <c r="J33" s="49"/>
      <c r="K33" s="49"/>
      <c r="L33" s="137"/>
    </row>
    <row r="34" spans="1:12" ht="156" customHeight="1" x14ac:dyDescent="0.3">
      <c r="A34" s="40">
        <v>5</v>
      </c>
      <c r="B34" s="41">
        <v>5.5</v>
      </c>
      <c r="C34" s="118" t="s">
        <v>127</v>
      </c>
      <c r="D34" s="42">
        <v>0</v>
      </c>
      <c r="E34" s="40" t="s">
        <v>112</v>
      </c>
      <c r="F34" s="40" t="s">
        <v>128</v>
      </c>
      <c r="G34" s="40" t="s">
        <v>114</v>
      </c>
      <c r="H34" s="43" t="s">
        <v>115</v>
      </c>
      <c r="I34" s="43"/>
      <c r="J34" s="49"/>
      <c r="K34" s="40"/>
      <c r="L34" s="137"/>
    </row>
    <row r="35" spans="1:12" ht="36" customHeight="1" x14ac:dyDescent="0.3">
      <c r="A35" s="40">
        <v>5</v>
      </c>
      <c r="B35" s="41">
        <v>5.5</v>
      </c>
      <c r="C35" s="118" t="s">
        <v>127</v>
      </c>
      <c r="D35" s="42">
        <v>0</v>
      </c>
      <c r="E35" s="40" t="s">
        <v>129</v>
      </c>
      <c r="F35" s="40" t="s">
        <v>130</v>
      </c>
      <c r="G35" s="50" t="s">
        <v>131</v>
      </c>
      <c r="H35" s="51" t="s">
        <v>132</v>
      </c>
      <c r="I35" s="40"/>
      <c r="J35" s="49"/>
      <c r="K35" s="40"/>
      <c r="L35" s="137"/>
    </row>
    <row r="36" spans="1:12" ht="45.6" x14ac:dyDescent="0.3">
      <c r="A36" s="40">
        <v>5</v>
      </c>
      <c r="B36" s="41">
        <v>5.6</v>
      </c>
      <c r="C36" s="118" t="s">
        <v>133</v>
      </c>
      <c r="D36" s="42">
        <v>0</v>
      </c>
      <c r="E36" s="40" t="s">
        <v>134</v>
      </c>
      <c r="F36" s="40" t="s">
        <v>135</v>
      </c>
      <c r="G36" s="40" t="s">
        <v>136</v>
      </c>
      <c r="H36" s="51" t="s">
        <v>137</v>
      </c>
      <c r="I36" s="40"/>
      <c r="J36" s="40"/>
      <c r="K36" s="40"/>
      <c r="L36" s="137"/>
    </row>
    <row r="37" spans="1:12" ht="84" customHeight="1" x14ac:dyDescent="0.3">
      <c r="A37" s="40">
        <v>5</v>
      </c>
      <c r="B37" s="41">
        <v>5.7</v>
      </c>
      <c r="C37" s="118" t="s">
        <v>138</v>
      </c>
      <c r="D37" s="42">
        <v>0</v>
      </c>
      <c r="E37" s="40" t="s">
        <v>112</v>
      </c>
      <c r="F37" s="40" t="s">
        <v>139</v>
      </c>
      <c r="G37" s="40" t="s">
        <v>114</v>
      </c>
      <c r="H37" s="43" t="s">
        <v>115</v>
      </c>
      <c r="I37" s="49"/>
      <c r="J37" s="49"/>
      <c r="K37" s="40"/>
      <c r="L37" s="137"/>
    </row>
    <row r="38" spans="1:12" ht="96" customHeight="1" x14ac:dyDescent="0.3">
      <c r="A38" s="40">
        <v>5</v>
      </c>
      <c r="B38" s="41">
        <v>5.7</v>
      </c>
      <c r="C38" s="118" t="s">
        <v>138</v>
      </c>
      <c r="D38" s="42">
        <v>0</v>
      </c>
      <c r="E38" s="40" t="s">
        <v>140</v>
      </c>
      <c r="F38" s="40" t="s">
        <v>141</v>
      </c>
      <c r="G38" s="40" t="s">
        <v>142</v>
      </c>
      <c r="H38" s="51" t="s">
        <v>143</v>
      </c>
      <c r="I38" s="40"/>
      <c r="J38" s="40"/>
      <c r="K38" s="40"/>
      <c r="L38" s="137"/>
    </row>
    <row r="39" spans="1:12" ht="165.9" customHeight="1" x14ac:dyDescent="0.3">
      <c r="A39" s="52">
        <v>6</v>
      </c>
      <c r="B39" s="53">
        <v>6.1</v>
      </c>
      <c r="C39" s="119" t="s">
        <v>144</v>
      </c>
      <c r="D39" s="54">
        <v>0</v>
      </c>
      <c r="E39" s="52" t="s">
        <v>145</v>
      </c>
      <c r="F39" s="52" t="s">
        <v>146</v>
      </c>
      <c r="G39" s="52" t="s">
        <v>147</v>
      </c>
      <c r="H39" s="55" t="s">
        <v>148</v>
      </c>
      <c r="I39" s="55"/>
      <c r="J39" s="56"/>
      <c r="K39" s="56"/>
      <c r="L39" s="138" t="s">
        <v>149</v>
      </c>
    </row>
    <row r="40" spans="1:12" ht="162.9" customHeight="1" x14ac:dyDescent="0.3">
      <c r="A40" s="52">
        <v>6</v>
      </c>
      <c r="B40" s="53">
        <v>6.2</v>
      </c>
      <c r="C40" s="119" t="s">
        <v>318</v>
      </c>
      <c r="D40" s="57">
        <v>0</v>
      </c>
      <c r="E40" s="52" t="s">
        <v>145</v>
      </c>
      <c r="F40" s="52" t="s">
        <v>150</v>
      </c>
      <c r="G40" s="52" t="s">
        <v>147</v>
      </c>
      <c r="H40" s="58" t="s">
        <v>148</v>
      </c>
      <c r="I40" s="58"/>
      <c r="J40" s="56"/>
      <c r="K40" s="56"/>
      <c r="L40" s="138"/>
    </row>
    <row r="41" spans="1:12" ht="24" customHeight="1" x14ac:dyDescent="0.3">
      <c r="A41" s="52">
        <v>6</v>
      </c>
      <c r="B41" s="53">
        <v>6.2</v>
      </c>
      <c r="C41" s="119" t="s">
        <v>318</v>
      </c>
      <c r="D41" s="57">
        <v>0</v>
      </c>
      <c r="E41" s="52" t="s">
        <v>112</v>
      </c>
      <c r="F41" s="52" t="s">
        <v>151</v>
      </c>
      <c r="G41" s="52" t="s">
        <v>114</v>
      </c>
      <c r="H41" s="58" t="s">
        <v>115</v>
      </c>
      <c r="I41" s="56"/>
      <c r="J41" s="56"/>
      <c r="K41" s="56"/>
      <c r="L41" s="138"/>
    </row>
    <row r="42" spans="1:12" ht="46.2" x14ac:dyDescent="0.3">
      <c r="A42" s="52">
        <v>6</v>
      </c>
      <c r="B42" s="53">
        <v>6.3</v>
      </c>
      <c r="C42" s="119" t="s">
        <v>152</v>
      </c>
      <c r="D42" s="54">
        <v>0</v>
      </c>
      <c r="E42" s="52" t="s">
        <v>112</v>
      </c>
      <c r="F42" s="52" t="s">
        <v>153</v>
      </c>
      <c r="G42" s="52" t="s">
        <v>114</v>
      </c>
      <c r="H42" s="58" t="s">
        <v>115</v>
      </c>
      <c r="I42" s="56"/>
      <c r="J42" s="56"/>
      <c r="K42" s="56"/>
      <c r="L42" s="138"/>
    </row>
    <row r="43" spans="1:12" ht="148.19999999999999" x14ac:dyDescent="0.3">
      <c r="A43" s="52">
        <v>6</v>
      </c>
      <c r="B43" s="53">
        <v>6.4</v>
      </c>
      <c r="C43" s="119" t="s">
        <v>154</v>
      </c>
      <c r="D43" s="54">
        <v>1</v>
      </c>
      <c r="E43" s="52" t="s">
        <v>145</v>
      </c>
      <c r="F43" s="52" t="s">
        <v>155</v>
      </c>
      <c r="G43" s="52" t="s">
        <v>147</v>
      </c>
      <c r="H43" s="58" t="s">
        <v>148</v>
      </c>
      <c r="I43" s="56"/>
      <c r="J43" s="56"/>
      <c r="K43" s="56"/>
      <c r="L43" s="138"/>
    </row>
    <row r="44" spans="1:12" ht="34.200000000000003" x14ac:dyDescent="0.3">
      <c r="A44" s="52">
        <v>6</v>
      </c>
      <c r="B44" s="53">
        <v>6.5</v>
      </c>
      <c r="C44" s="119" t="s">
        <v>156</v>
      </c>
      <c r="D44" s="54">
        <v>1</v>
      </c>
      <c r="E44" s="52" t="s">
        <v>157</v>
      </c>
      <c r="F44" s="52" t="s">
        <v>158</v>
      </c>
      <c r="G44" s="52" t="s">
        <v>21</v>
      </c>
      <c r="H44" s="58" t="s">
        <v>159</v>
      </c>
      <c r="I44" s="56"/>
      <c r="J44" s="56"/>
      <c r="K44" s="56"/>
      <c r="L44" s="138"/>
    </row>
    <row r="45" spans="1:12" ht="87.9" customHeight="1" x14ac:dyDescent="0.3">
      <c r="A45" s="59">
        <v>7</v>
      </c>
      <c r="B45" s="60">
        <v>7.1</v>
      </c>
      <c r="C45" s="120" t="s">
        <v>160</v>
      </c>
      <c r="D45" s="61">
        <v>0</v>
      </c>
      <c r="E45" s="59" t="s">
        <v>145</v>
      </c>
      <c r="F45" s="59" t="s">
        <v>161</v>
      </c>
      <c r="G45" s="59" t="s">
        <v>147</v>
      </c>
      <c r="H45" s="62" t="s">
        <v>148</v>
      </c>
      <c r="I45" s="63"/>
      <c r="J45" s="63"/>
      <c r="K45" s="63"/>
      <c r="L45" s="139" t="s">
        <v>162</v>
      </c>
    </row>
    <row r="46" spans="1:12" ht="108" customHeight="1" x14ac:dyDescent="0.3">
      <c r="A46" s="59">
        <v>7</v>
      </c>
      <c r="B46" s="60">
        <v>7.1</v>
      </c>
      <c r="C46" s="120" t="s">
        <v>160</v>
      </c>
      <c r="D46" s="61">
        <v>0</v>
      </c>
      <c r="E46" s="59" t="s">
        <v>112</v>
      </c>
      <c r="F46" s="59" t="s">
        <v>163</v>
      </c>
      <c r="G46" s="59" t="s">
        <v>114</v>
      </c>
      <c r="H46" s="64" t="s">
        <v>115</v>
      </c>
      <c r="I46" s="59"/>
      <c r="J46" s="63"/>
      <c r="K46" s="63"/>
      <c r="L46" s="140"/>
    </row>
    <row r="47" spans="1:12" ht="57.6" x14ac:dyDescent="0.3">
      <c r="A47" s="59">
        <v>7</v>
      </c>
      <c r="B47" s="60">
        <v>7.2</v>
      </c>
      <c r="C47" s="121" t="s">
        <v>164</v>
      </c>
      <c r="D47" s="61">
        <v>0</v>
      </c>
      <c r="E47" s="59" t="s">
        <v>145</v>
      </c>
      <c r="F47" s="59" t="s">
        <v>165</v>
      </c>
      <c r="G47" s="59" t="s">
        <v>147</v>
      </c>
      <c r="H47" s="62" t="s">
        <v>148</v>
      </c>
      <c r="I47" s="63"/>
      <c r="J47" s="63"/>
      <c r="K47" s="63"/>
      <c r="L47" s="140"/>
    </row>
    <row r="48" spans="1:12" ht="57" x14ac:dyDescent="0.3">
      <c r="A48" s="59">
        <v>7</v>
      </c>
      <c r="B48" s="60">
        <v>7.3</v>
      </c>
      <c r="C48" s="121" t="s">
        <v>166</v>
      </c>
      <c r="D48" s="61">
        <v>0</v>
      </c>
      <c r="E48" s="59" t="s">
        <v>145</v>
      </c>
      <c r="F48" s="59" t="s">
        <v>167</v>
      </c>
      <c r="G48" s="59" t="s">
        <v>147</v>
      </c>
      <c r="H48" s="62" t="s">
        <v>148</v>
      </c>
      <c r="I48" s="63"/>
      <c r="J48" s="63"/>
      <c r="K48" s="63"/>
      <c r="L48" s="140"/>
    </row>
    <row r="49" spans="1:12" ht="102.9" customHeight="1" x14ac:dyDescent="0.3">
      <c r="A49" s="59">
        <v>7</v>
      </c>
      <c r="B49" s="60">
        <v>7.4</v>
      </c>
      <c r="C49" s="121" t="s">
        <v>168</v>
      </c>
      <c r="D49" s="61">
        <v>0</v>
      </c>
      <c r="E49" s="59" t="s">
        <v>145</v>
      </c>
      <c r="F49" s="59" t="s">
        <v>169</v>
      </c>
      <c r="G49" s="59" t="s">
        <v>147</v>
      </c>
      <c r="H49" s="62" t="s">
        <v>148</v>
      </c>
      <c r="I49" s="63"/>
      <c r="J49" s="63"/>
      <c r="K49" s="63"/>
      <c r="L49" s="140"/>
    </row>
    <row r="50" spans="1:12" ht="138.9" customHeight="1" x14ac:dyDescent="0.3">
      <c r="A50" s="59">
        <v>7</v>
      </c>
      <c r="B50" s="60">
        <v>7.4</v>
      </c>
      <c r="C50" s="121" t="s">
        <v>168</v>
      </c>
      <c r="D50" s="61">
        <v>0</v>
      </c>
      <c r="E50" s="59" t="s">
        <v>112</v>
      </c>
      <c r="F50" s="59" t="s">
        <v>170</v>
      </c>
      <c r="G50" s="59" t="s">
        <v>114</v>
      </c>
      <c r="H50" s="64" t="s">
        <v>115</v>
      </c>
      <c r="I50" s="59"/>
      <c r="J50" s="63"/>
      <c r="K50" s="63"/>
      <c r="L50" s="140"/>
    </row>
    <row r="51" spans="1:12" ht="162.9" customHeight="1" x14ac:dyDescent="0.3">
      <c r="A51" s="59">
        <v>7</v>
      </c>
      <c r="B51" s="60">
        <v>7.4</v>
      </c>
      <c r="C51" s="121" t="s">
        <v>168</v>
      </c>
      <c r="D51" s="61">
        <v>0</v>
      </c>
      <c r="E51" s="59" t="s">
        <v>171</v>
      </c>
      <c r="F51" s="59" t="s">
        <v>172</v>
      </c>
      <c r="G51" s="59" t="s">
        <v>173</v>
      </c>
      <c r="H51" s="64" t="s">
        <v>174</v>
      </c>
      <c r="I51" s="59"/>
      <c r="J51" s="63"/>
      <c r="K51" s="63"/>
      <c r="L51" s="141"/>
    </row>
    <row r="52" spans="1:12" ht="72" customHeight="1" x14ac:dyDescent="0.3">
      <c r="A52" s="19">
        <v>8</v>
      </c>
      <c r="B52" s="20">
        <v>8.1</v>
      </c>
      <c r="C52" s="65" t="s">
        <v>175</v>
      </c>
      <c r="D52" s="21">
        <v>1</v>
      </c>
      <c r="E52" s="19" t="s">
        <v>83</v>
      </c>
      <c r="F52" s="19" t="s">
        <v>176</v>
      </c>
      <c r="G52" s="19" t="s">
        <v>85</v>
      </c>
      <c r="H52" s="66" t="s">
        <v>177</v>
      </c>
      <c r="I52" s="19"/>
      <c r="J52" s="19"/>
      <c r="K52" s="19"/>
      <c r="L52" s="130" t="s">
        <v>178</v>
      </c>
    </row>
    <row r="53" spans="1:12" ht="99.75" customHeight="1" x14ac:dyDescent="0.3">
      <c r="A53" s="19">
        <v>8</v>
      </c>
      <c r="B53" s="67">
        <v>8.1999999999999993</v>
      </c>
      <c r="C53" s="122" t="s">
        <v>179</v>
      </c>
      <c r="D53" s="21">
        <v>0</v>
      </c>
      <c r="E53" s="68" t="s">
        <v>112</v>
      </c>
      <c r="F53" s="19" t="s">
        <v>180</v>
      </c>
      <c r="G53" s="19" t="s">
        <v>181</v>
      </c>
      <c r="H53" s="69" t="s">
        <v>115</v>
      </c>
      <c r="I53" s="19"/>
      <c r="J53" s="19"/>
      <c r="K53" s="19"/>
      <c r="L53" s="131"/>
    </row>
    <row r="54" spans="1:12" ht="204.9" customHeight="1" x14ac:dyDescent="0.3">
      <c r="A54" s="19">
        <v>8</v>
      </c>
      <c r="B54" s="20">
        <v>8.3000000000000007</v>
      </c>
      <c r="C54" s="122" t="s">
        <v>182</v>
      </c>
      <c r="D54" s="21">
        <v>1</v>
      </c>
      <c r="E54" s="68" t="s">
        <v>112</v>
      </c>
      <c r="F54" s="19" t="s">
        <v>183</v>
      </c>
      <c r="G54" s="19" t="s">
        <v>181</v>
      </c>
      <c r="H54" s="69" t="s">
        <v>115</v>
      </c>
      <c r="I54" s="22"/>
      <c r="J54" s="19"/>
      <c r="K54" s="19"/>
      <c r="L54" s="131"/>
    </row>
    <row r="55" spans="1:12" ht="150" customHeight="1" x14ac:dyDescent="0.3">
      <c r="A55" s="19">
        <v>8</v>
      </c>
      <c r="B55" s="20">
        <v>8.3000000000000007</v>
      </c>
      <c r="C55" s="122" t="s">
        <v>182</v>
      </c>
      <c r="D55" s="21">
        <v>0</v>
      </c>
      <c r="E55" s="68" t="s">
        <v>184</v>
      </c>
      <c r="F55" s="19" t="s">
        <v>185</v>
      </c>
      <c r="G55" s="19" t="s">
        <v>186</v>
      </c>
      <c r="H55" s="69" t="s">
        <v>187</v>
      </c>
      <c r="I55" s="22"/>
      <c r="J55" s="19"/>
      <c r="K55" s="19"/>
      <c r="L55" s="131"/>
    </row>
    <row r="56" spans="1:12" ht="138" customHeight="1" x14ac:dyDescent="0.3">
      <c r="A56" s="19">
        <v>8</v>
      </c>
      <c r="B56" s="20">
        <v>8.4</v>
      </c>
      <c r="C56" s="65" t="s">
        <v>188</v>
      </c>
      <c r="D56" s="21">
        <v>0</v>
      </c>
      <c r="E56" s="68" t="s">
        <v>112</v>
      </c>
      <c r="F56" s="19" t="s">
        <v>189</v>
      </c>
      <c r="G56" s="19" t="s">
        <v>181</v>
      </c>
      <c r="H56" s="69" t="s">
        <v>115</v>
      </c>
      <c r="I56" s="22"/>
      <c r="J56" s="19"/>
      <c r="K56" s="19"/>
      <c r="L56" s="131"/>
    </row>
    <row r="57" spans="1:12" ht="144" customHeight="1" x14ac:dyDescent="0.3">
      <c r="A57" s="71">
        <v>9</v>
      </c>
      <c r="B57" s="72">
        <v>9.1</v>
      </c>
      <c r="C57" s="123" t="s">
        <v>190</v>
      </c>
      <c r="D57" s="73">
        <v>0</v>
      </c>
      <c r="E57" s="71" t="s">
        <v>191</v>
      </c>
      <c r="F57" s="71" t="s">
        <v>192</v>
      </c>
      <c r="G57" s="71" t="s">
        <v>193</v>
      </c>
      <c r="H57" s="74" t="s">
        <v>194</v>
      </c>
      <c r="I57" s="71"/>
      <c r="J57" s="75"/>
      <c r="K57" s="75"/>
      <c r="L57" s="135" t="s">
        <v>195</v>
      </c>
    </row>
    <row r="58" spans="1:12" ht="102" customHeight="1" x14ac:dyDescent="0.3">
      <c r="A58" s="71">
        <v>9</v>
      </c>
      <c r="B58" s="72">
        <v>9.1</v>
      </c>
      <c r="C58" s="123" t="s">
        <v>190</v>
      </c>
      <c r="D58" s="73">
        <v>0</v>
      </c>
      <c r="E58" s="76" t="s">
        <v>112</v>
      </c>
      <c r="F58" s="71" t="s">
        <v>196</v>
      </c>
      <c r="G58" s="71" t="s">
        <v>181</v>
      </c>
      <c r="H58" s="74" t="s">
        <v>115</v>
      </c>
      <c r="I58" s="71"/>
      <c r="J58" s="75"/>
      <c r="K58" s="75"/>
      <c r="L58" s="136"/>
    </row>
    <row r="59" spans="1:12" ht="79.8" x14ac:dyDescent="0.3">
      <c r="A59" s="71">
        <v>9</v>
      </c>
      <c r="B59" s="72">
        <v>9.1999999999999993</v>
      </c>
      <c r="C59" s="123" t="s">
        <v>197</v>
      </c>
      <c r="D59" s="73">
        <v>0</v>
      </c>
      <c r="E59" s="77" t="s">
        <v>198</v>
      </c>
      <c r="F59" s="77" t="s">
        <v>199</v>
      </c>
      <c r="G59" s="71" t="s">
        <v>200</v>
      </c>
      <c r="H59" s="78" t="s">
        <v>201</v>
      </c>
      <c r="I59" s="75"/>
      <c r="J59" s="75"/>
      <c r="K59" s="75"/>
      <c r="L59" s="136"/>
    </row>
    <row r="60" spans="1:12" ht="36" customHeight="1" x14ac:dyDescent="0.3">
      <c r="A60" s="71">
        <v>9</v>
      </c>
      <c r="B60" s="72">
        <v>9.1999999999999993</v>
      </c>
      <c r="C60" s="123" t="s">
        <v>197</v>
      </c>
      <c r="D60" s="73">
        <v>0</v>
      </c>
      <c r="E60" s="79" t="s">
        <v>112</v>
      </c>
      <c r="F60" s="77" t="s">
        <v>202</v>
      </c>
      <c r="G60" s="71" t="s">
        <v>181</v>
      </c>
      <c r="H60" s="74" t="s">
        <v>115</v>
      </c>
      <c r="I60" s="71"/>
      <c r="J60" s="75"/>
      <c r="K60" s="75"/>
      <c r="L60" s="136"/>
    </row>
    <row r="61" spans="1:12" ht="239.1" customHeight="1" x14ac:dyDescent="0.3">
      <c r="A61" s="71">
        <v>9</v>
      </c>
      <c r="B61" s="72">
        <v>9.3000000000000007</v>
      </c>
      <c r="C61" s="80" t="s">
        <v>203</v>
      </c>
      <c r="D61" s="73">
        <v>1</v>
      </c>
      <c r="E61" s="71" t="s">
        <v>204</v>
      </c>
      <c r="F61" s="71" t="s">
        <v>205</v>
      </c>
      <c r="G61" s="71" t="s">
        <v>206</v>
      </c>
      <c r="H61" s="81" t="s">
        <v>207</v>
      </c>
      <c r="I61" s="71"/>
      <c r="J61" s="71"/>
      <c r="K61" s="71"/>
      <c r="L61" s="136"/>
    </row>
    <row r="62" spans="1:12" ht="132.75" customHeight="1" x14ac:dyDescent="0.3">
      <c r="A62" s="71">
        <v>9</v>
      </c>
      <c r="B62" s="72">
        <v>9.4</v>
      </c>
      <c r="C62" s="80" t="s">
        <v>319</v>
      </c>
      <c r="D62" s="73">
        <v>0</v>
      </c>
      <c r="E62" s="79" t="s">
        <v>112</v>
      </c>
      <c r="F62" s="77" t="s">
        <v>208</v>
      </c>
      <c r="G62" s="71" t="s">
        <v>181</v>
      </c>
      <c r="H62" s="74" t="s">
        <v>115</v>
      </c>
      <c r="I62" s="71"/>
      <c r="J62" s="71"/>
      <c r="K62" s="71"/>
      <c r="L62" s="136"/>
    </row>
    <row r="63" spans="1:12" ht="156" customHeight="1" x14ac:dyDescent="0.3">
      <c r="A63" s="71">
        <v>9</v>
      </c>
      <c r="B63" s="72">
        <v>9.4</v>
      </c>
      <c r="C63" s="80" t="s">
        <v>319</v>
      </c>
      <c r="D63" s="73">
        <v>0</v>
      </c>
      <c r="E63" s="71" t="s">
        <v>191</v>
      </c>
      <c r="F63" s="71" t="s">
        <v>209</v>
      </c>
      <c r="G63" s="71" t="s">
        <v>193</v>
      </c>
      <c r="H63" s="74" t="s">
        <v>194</v>
      </c>
      <c r="I63" s="71"/>
      <c r="J63" s="75"/>
      <c r="K63" s="75"/>
      <c r="L63" s="136"/>
    </row>
    <row r="64" spans="1:12" ht="216" customHeight="1" x14ac:dyDescent="0.3">
      <c r="A64" s="38">
        <v>10</v>
      </c>
      <c r="B64" s="37">
        <v>10.1</v>
      </c>
      <c r="C64" s="117" t="s">
        <v>210</v>
      </c>
      <c r="D64" s="33">
        <v>0</v>
      </c>
      <c r="E64" s="82" t="s">
        <v>211</v>
      </c>
      <c r="F64" s="82" t="s">
        <v>212</v>
      </c>
      <c r="G64" s="82" t="s">
        <v>213</v>
      </c>
      <c r="H64" s="32" t="s">
        <v>214</v>
      </c>
      <c r="I64" s="83" t="s">
        <v>214</v>
      </c>
      <c r="J64" s="82"/>
      <c r="K64" s="82"/>
      <c r="L64" s="128" t="s">
        <v>215</v>
      </c>
    </row>
    <row r="65" spans="1:12" ht="110.1" customHeight="1" x14ac:dyDescent="0.3">
      <c r="A65" s="38">
        <v>10</v>
      </c>
      <c r="B65" s="37">
        <v>10.1</v>
      </c>
      <c r="C65" s="117" t="s">
        <v>210</v>
      </c>
      <c r="D65" s="33">
        <v>0</v>
      </c>
      <c r="E65" s="82" t="s">
        <v>216</v>
      </c>
      <c r="F65" s="82" t="s">
        <v>217</v>
      </c>
      <c r="G65" s="32" t="s">
        <v>218</v>
      </c>
      <c r="H65" s="84" t="s">
        <v>219</v>
      </c>
      <c r="I65" s="83"/>
      <c r="J65" s="82"/>
      <c r="K65" s="82"/>
      <c r="L65" s="129"/>
    </row>
    <row r="66" spans="1:12" ht="342.9" customHeight="1" x14ac:dyDescent="0.3">
      <c r="A66" s="38">
        <v>10</v>
      </c>
      <c r="B66" s="37">
        <v>10.199999999999999</v>
      </c>
      <c r="C66" s="85" t="s">
        <v>220</v>
      </c>
      <c r="D66" s="33">
        <v>1</v>
      </c>
      <c r="E66" s="82" t="s">
        <v>221</v>
      </c>
      <c r="F66" s="82" t="s">
        <v>222</v>
      </c>
      <c r="G66" s="82" t="s">
        <v>223</v>
      </c>
      <c r="H66" s="32" t="s">
        <v>214</v>
      </c>
      <c r="I66" s="83" t="s">
        <v>214</v>
      </c>
      <c r="J66" s="84"/>
      <c r="K66" s="82"/>
      <c r="L66" s="129"/>
    </row>
    <row r="67" spans="1:12" ht="68.400000000000006" x14ac:dyDescent="0.3">
      <c r="A67" s="32">
        <v>10</v>
      </c>
      <c r="B67" s="86">
        <v>10.3</v>
      </c>
      <c r="C67" s="85" t="s">
        <v>224</v>
      </c>
      <c r="D67" s="34">
        <v>0</v>
      </c>
      <c r="E67" s="32" t="s">
        <v>34</v>
      </c>
      <c r="F67" s="32" t="s">
        <v>225</v>
      </c>
      <c r="G67" s="32" t="s">
        <v>36</v>
      </c>
      <c r="H67" s="83" t="s">
        <v>37</v>
      </c>
      <c r="I67" s="32"/>
      <c r="J67" s="32"/>
      <c r="K67" s="32"/>
      <c r="L67" s="129"/>
    </row>
    <row r="68" spans="1:12" ht="91.2" x14ac:dyDescent="0.3">
      <c r="A68" s="32">
        <v>10</v>
      </c>
      <c r="B68" s="37">
        <v>10.4</v>
      </c>
      <c r="C68" s="85" t="s">
        <v>179</v>
      </c>
      <c r="D68" s="34">
        <v>1</v>
      </c>
      <c r="E68" s="32" t="s">
        <v>226</v>
      </c>
      <c r="F68" s="32" t="s">
        <v>227</v>
      </c>
      <c r="G68" s="32" t="s">
        <v>228</v>
      </c>
      <c r="H68" s="83" t="s">
        <v>229</v>
      </c>
      <c r="I68" s="38"/>
      <c r="J68" s="38"/>
      <c r="K68" s="38"/>
      <c r="L68" s="129"/>
    </row>
    <row r="69" spans="1:12" ht="150.9" customHeight="1" x14ac:dyDescent="0.3">
      <c r="A69" s="19">
        <v>11</v>
      </c>
      <c r="B69" s="20">
        <v>11.1</v>
      </c>
      <c r="C69" s="87" t="s">
        <v>230</v>
      </c>
      <c r="D69" s="70">
        <v>0</v>
      </c>
      <c r="E69" s="88" t="s">
        <v>231</v>
      </c>
      <c r="F69" s="19" t="s">
        <v>232</v>
      </c>
      <c r="G69" s="19" t="s">
        <v>233</v>
      </c>
      <c r="H69" s="22" t="s">
        <v>234</v>
      </c>
      <c r="I69" s="69" t="s">
        <v>235</v>
      </c>
      <c r="J69" s="89"/>
      <c r="K69" s="19"/>
      <c r="L69" s="130" t="s">
        <v>236</v>
      </c>
    </row>
    <row r="70" spans="1:12" ht="168" customHeight="1" x14ac:dyDescent="0.3">
      <c r="A70" s="19">
        <v>11</v>
      </c>
      <c r="B70" s="90">
        <v>11.2</v>
      </c>
      <c r="C70" s="122" t="s">
        <v>237</v>
      </c>
      <c r="D70" s="21">
        <v>0.5</v>
      </c>
      <c r="E70" s="68" t="s">
        <v>238</v>
      </c>
      <c r="F70" s="19" t="s">
        <v>239</v>
      </c>
      <c r="G70" s="19" t="s">
        <v>240</v>
      </c>
      <c r="H70" s="69" t="s">
        <v>241</v>
      </c>
      <c r="I70" s="19"/>
      <c r="J70" s="19"/>
      <c r="K70" s="19"/>
      <c r="L70" s="131"/>
    </row>
    <row r="71" spans="1:12" ht="288" customHeight="1" x14ac:dyDescent="0.3">
      <c r="A71" s="91">
        <v>11</v>
      </c>
      <c r="B71" s="92">
        <v>11.2</v>
      </c>
      <c r="C71" s="122" t="s">
        <v>237</v>
      </c>
      <c r="D71" s="93">
        <v>0</v>
      </c>
      <c r="E71" s="68" t="s">
        <v>242</v>
      </c>
      <c r="F71" s="68" t="s">
        <v>243</v>
      </c>
      <c r="G71" s="68" t="s">
        <v>244</v>
      </c>
      <c r="H71" s="94" t="s">
        <v>245</v>
      </c>
      <c r="I71" s="95"/>
      <c r="J71" s="94"/>
      <c r="K71" s="94"/>
      <c r="L71" s="131"/>
    </row>
    <row r="72" spans="1:12" ht="102.6" x14ac:dyDescent="0.3">
      <c r="A72" s="19">
        <v>11</v>
      </c>
      <c r="B72" s="90">
        <v>11.3</v>
      </c>
      <c r="C72" s="87" t="s">
        <v>246</v>
      </c>
      <c r="D72" s="96">
        <v>0.5</v>
      </c>
      <c r="E72" s="97" t="s">
        <v>238</v>
      </c>
      <c r="F72" s="19" t="s">
        <v>247</v>
      </c>
      <c r="G72" s="19" t="s">
        <v>240</v>
      </c>
      <c r="H72" s="69" t="s">
        <v>241</v>
      </c>
      <c r="I72" s="19"/>
      <c r="J72" s="19"/>
      <c r="K72" s="19"/>
      <c r="L72" s="131"/>
    </row>
    <row r="73" spans="1:12" ht="303.89999999999998" customHeight="1" x14ac:dyDescent="0.3">
      <c r="A73" s="19">
        <v>11</v>
      </c>
      <c r="B73" s="20">
        <v>11.4</v>
      </c>
      <c r="C73" s="87" t="s">
        <v>248</v>
      </c>
      <c r="D73" s="21">
        <v>0</v>
      </c>
      <c r="E73" s="98" t="s">
        <v>249</v>
      </c>
      <c r="F73" s="98" t="s">
        <v>250</v>
      </c>
      <c r="G73" s="19" t="s">
        <v>251</v>
      </c>
      <c r="H73" s="69" t="s">
        <v>252</v>
      </c>
      <c r="I73" s="99"/>
      <c r="J73" s="19"/>
      <c r="K73" s="91"/>
      <c r="L73" s="131"/>
    </row>
    <row r="74" spans="1:12" ht="68.400000000000006" x14ac:dyDescent="0.3">
      <c r="A74" s="24">
        <v>12</v>
      </c>
      <c r="B74" s="100">
        <v>12.01</v>
      </c>
      <c r="C74" s="101" t="s">
        <v>253</v>
      </c>
      <c r="D74" s="26">
        <v>0</v>
      </c>
      <c r="E74" s="24" t="s">
        <v>48</v>
      </c>
      <c r="F74" s="24" t="s">
        <v>254</v>
      </c>
      <c r="G74" s="102" t="s">
        <v>255</v>
      </c>
      <c r="H74" s="27" t="s">
        <v>51</v>
      </c>
      <c r="I74" s="24"/>
      <c r="J74" s="24"/>
      <c r="K74" s="24"/>
      <c r="L74" s="132" t="s">
        <v>256</v>
      </c>
    </row>
    <row r="75" spans="1:12" ht="114.6" x14ac:dyDescent="0.3">
      <c r="A75" s="24">
        <v>12</v>
      </c>
      <c r="B75" s="25">
        <v>12.2</v>
      </c>
      <c r="C75" s="101" t="s">
        <v>257</v>
      </c>
      <c r="D75" s="26">
        <v>0</v>
      </c>
      <c r="E75" s="29" t="s">
        <v>258</v>
      </c>
      <c r="F75" s="24" t="s">
        <v>259</v>
      </c>
      <c r="G75" s="102" t="s">
        <v>260</v>
      </c>
      <c r="H75" s="24" t="s">
        <v>261</v>
      </c>
      <c r="I75" s="24"/>
      <c r="J75" s="24"/>
      <c r="K75" s="24"/>
      <c r="L75" s="133"/>
    </row>
    <row r="76" spans="1:12" ht="222" customHeight="1" x14ac:dyDescent="0.3">
      <c r="A76" s="24">
        <v>12</v>
      </c>
      <c r="B76" s="25">
        <v>12.3</v>
      </c>
      <c r="C76" s="101" t="s">
        <v>262</v>
      </c>
      <c r="D76" s="26">
        <v>0</v>
      </c>
      <c r="E76" s="24" t="s">
        <v>129</v>
      </c>
      <c r="F76" s="24" t="s">
        <v>263</v>
      </c>
      <c r="G76" s="102" t="s">
        <v>131</v>
      </c>
      <c r="H76" s="27" t="s">
        <v>132</v>
      </c>
      <c r="I76" s="24"/>
      <c r="J76" s="24"/>
      <c r="K76" s="24"/>
      <c r="L76" s="133"/>
    </row>
    <row r="77" spans="1:12" ht="57" x14ac:dyDescent="0.3">
      <c r="A77" s="24">
        <v>12</v>
      </c>
      <c r="B77" s="25">
        <v>12.4</v>
      </c>
      <c r="C77" s="101" t="s">
        <v>264</v>
      </c>
      <c r="D77" s="26">
        <v>0</v>
      </c>
      <c r="E77" s="29" t="s">
        <v>265</v>
      </c>
      <c r="F77" s="24" t="s">
        <v>266</v>
      </c>
      <c r="G77" s="102" t="s">
        <v>267</v>
      </c>
      <c r="H77" s="27" t="s">
        <v>268</v>
      </c>
      <c r="I77" s="27" t="s">
        <v>269</v>
      </c>
      <c r="J77" s="24"/>
      <c r="K77" s="24"/>
      <c r="L77" s="133"/>
    </row>
    <row r="78" spans="1:12" ht="102.6" x14ac:dyDescent="0.3">
      <c r="A78" s="24">
        <v>12</v>
      </c>
      <c r="B78" s="25">
        <v>12.4</v>
      </c>
      <c r="C78" s="101" t="s">
        <v>264</v>
      </c>
      <c r="D78" s="26">
        <v>0</v>
      </c>
      <c r="E78" s="103" t="s">
        <v>270</v>
      </c>
      <c r="F78" s="103" t="s">
        <v>271</v>
      </c>
      <c r="G78" s="102" t="s">
        <v>272</v>
      </c>
      <c r="H78" s="27" t="s">
        <v>273</v>
      </c>
      <c r="I78" s="24"/>
      <c r="J78" s="24"/>
      <c r="K78" s="24"/>
      <c r="L78" s="133"/>
    </row>
    <row r="79" spans="1:12" ht="168" customHeight="1" x14ac:dyDescent="0.3">
      <c r="A79" s="24">
        <v>12</v>
      </c>
      <c r="B79" s="25">
        <v>12.4</v>
      </c>
      <c r="C79" s="101" t="s">
        <v>264</v>
      </c>
      <c r="D79" s="26">
        <v>0</v>
      </c>
      <c r="E79" s="29" t="s">
        <v>265</v>
      </c>
      <c r="F79" s="24" t="s">
        <v>274</v>
      </c>
      <c r="G79" s="102" t="s">
        <v>267</v>
      </c>
      <c r="H79" s="27" t="s">
        <v>268</v>
      </c>
      <c r="I79" s="27" t="s">
        <v>269</v>
      </c>
      <c r="J79" s="24"/>
      <c r="K79" s="24"/>
      <c r="L79" s="133"/>
    </row>
    <row r="80" spans="1:12" ht="99" customHeight="1" x14ac:dyDescent="0.3">
      <c r="A80" s="24">
        <v>12</v>
      </c>
      <c r="B80" s="25">
        <v>12.4</v>
      </c>
      <c r="C80" s="101" t="s">
        <v>264</v>
      </c>
      <c r="D80" s="26">
        <v>1</v>
      </c>
      <c r="E80" s="29" t="s">
        <v>265</v>
      </c>
      <c r="F80" s="103" t="s">
        <v>275</v>
      </c>
      <c r="G80" s="102" t="s">
        <v>267</v>
      </c>
      <c r="H80" s="27" t="s">
        <v>268</v>
      </c>
      <c r="I80" s="27" t="s">
        <v>269</v>
      </c>
      <c r="J80" s="24"/>
      <c r="K80" s="24"/>
      <c r="L80" s="133"/>
    </row>
    <row r="81" spans="1:12" ht="136.80000000000001" x14ac:dyDescent="0.3">
      <c r="A81" s="24">
        <v>12</v>
      </c>
      <c r="B81" s="25">
        <v>12.4</v>
      </c>
      <c r="C81" s="101" t="s">
        <v>264</v>
      </c>
      <c r="D81" s="26">
        <v>0</v>
      </c>
      <c r="E81" s="29" t="s">
        <v>265</v>
      </c>
      <c r="F81" s="24" t="s">
        <v>276</v>
      </c>
      <c r="G81" s="102" t="s">
        <v>267</v>
      </c>
      <c r="H81" s="27" t="s">
        <v>268</v>
      </c>
      <c r="I81" s="27" t="s">
        <v>269</v>
      </c>
      <c r="J81" s="24"/>
      <c r="K81" s="24"/>
      <c r="L81" s="133"/>
    </row>
    <row r="82" spans="1:12" ht="91.2" x14ac:dyDescent="0.3">
      <c r="A82" s="24">
        <v>12</v>
      </c>
      <c r="B82" s="25">
        <v>12.4</v>
      </c>
      <c r="C82" s="101" t="s">
        <v>264</v>
      </c>
      <c r="D82" s="26">
        <v>0</v>
      </c>
      <c r="E82" s="29" t="s">
        <v>265</v>
      </c>
      <c r="F82" s="24" t="s">
        <v>277</v>
      </c>
      <c r="G82" s="102" t="s">
        <v>267</v>
      </c>
      <c r="H82" s="27" t="s">
        <v>268</v>
      </c>
      <c r="I82" s="27" t="s">
        <v>269</v>
      </c>
      <c r="J82" s="24"/>
      <c r="K82" s="24"/>
      <c r="L82" s="133"/>
    </row>
    <row r="83" spans="1:12" ht="60" customHeight="1" x14ac:dyDescent="0.3">
      <c r="A83" s="24">
        <v>12</v>
      </c>
      <c r="B83" s="25">
        <v>12.4</v>
      </c>
      <c r="C83" s="101" t="s">
        <v>264</v>
      </c>
      <c r="D83" s="26">
        <v>0</v>
      </c>
      <c r="E83" s="29" t="s">
        <v>265</v>
      </c>
      <c r="F83" s="24" t="s">
        <v>278</v>
      </c>
      <c r="G83" s="102" t="s">
        <v>267</v>
      </c>
      <c r="H83" s="27" t="s">
        <v>268</v>
      </c>
      <c r="I83" s="27" t="s">
        <v>269</v>
      </c>
      <c r="J83" s="24"/>
      <c r="K83" s="24"/>
      <c r="L83" s="133"/>
    </row>
    <row r="84" spans="1:12" ht="143.1" customHeight="1" x14ac:dyDescent="0.3">
      <c r="A84" s="24">
        <v>12</v>
      </c>
      <c r="B84" s="25">
        <v>12.5</v>
      </c>
      <c r="C84" s="124" t="s">
        <v>279</v>
      </c>
      <c r="D84" s="26">
        <v>0</v>
      </c>
      <c r="E84" s="24" t="s">
        <v>280</v>
      </c>
      <c r="F84" s="24" t="s">
        <v>281</v>
      </c>
      <c r="G84" s="102" t="s">
        <v>282</v>
      </c>
      <c r="H84" s="27" t="s">
        <v>283</v>
      </c>
      <c r="I84" s="31"/>
      <c r="J84" s="30"/>
      <c r="K84" s="30"/>
      <c r="L84" s="133"/>
    </row>
    <row r="85" spans="1:12" ht="246.9" customHeight="1" x14ac:dyDescent="0.3">
      <c r="A85" s="24">
        <v>12</v>
      </c>
      <c r="B85" s="24">
        <v>12.5</v>
      </c>
      <c r="C85" s="124" t="s">
        <v>279</v>
      </c>
      <c r="D85" s="26">
        <v>0</v>
      </c>
      <c r="E85" s="26" t="s">
        <v>284</v>
      </c>
      <c r="F85" s="24" t="s">
        <v>285</v>
      </c>
      <c r="G85" s="24" t="s">
        <v>286</v>
      </c>
      <c r="H85" s="104" t="s">
        <v>287</v>
      </c>
      <c r="I85" s="104" t="s">
        <v>288</v>
      </c>
      <c r="J85" s="24"/>
      <c r="K85" s="105"/>
      <c r="L85" s="133"/>
    </row>
    <row r="86" spans="1:12" ht="204" customHeight="1" x14ac:dyDescent="0.3">
      <c r="A86" s="24">
        <v>12</v>
      </c>
      <c r="B86" s="25">
        <v>12.6</v>
      </c>
      <c r="C86" s="101" t="s">
        <v>289</v>
      </c>
      <c r="D86" s="26">
        <v>0</v>
      </c>
      <c r="E86" s="24" t="s">
        <v>290</v>
      </c>
      <c r="F86" s="24" t="s">
        <v>291</v>
      </c>
      <c r="G86" s="102" t="s">
        <v>292</v>
      </c>
      <c r="H86" s="106" t="s">
        <v>293</v>
      </c>
      <c r="I86" s="30"/>
      <c r="J86" s="30"/>
      <c r="K86" s="24"/>
      <c r="L86" s="133"/>
    </row>
    <row r="87" spans="1:12" ht="72" customHeight="1" x14ac:dyDescent="0.3">
      <c r="A87" s="24">
        <v>12</v>
      </c>
      <c r="B87" s="25">
        <v>12.7</v>
      </c>
      <c r="C87" s="124" t="s">
        <v>294</v>
      </c>
      <c r="D87" s="26">
        <v>0</v>
      </c>
      <c r="E87" s="24" t="s">
        <v>112</v>
      </c>
      <c r="F87" s="24" t="s">
        <v>295</v>
      </c>
      <c r="G87" s="102" t="s">
        <v>296</v>
      </c>
      <c r="H87" s="27" t="s">
        <v>115</v>
      </c>
      <c r="I87" s="30"/>
      <c r="J87" s="107"/>
      <c r="K87" s="24"/>
      <c r="L87" s="133"/>
    </row>
    <row r="88" spans="1:12" ht="72" customHeight="1" x14ac:dyDescent="0.3">
      <c r="A88" s="24">
        <v>12</v>
      </c>
      <c r="B88" s="25">
        <v>12.7</v>
      </c>
      <c r="C88" s="124" t="s">
        <v>294</v>
      </c>
      <c r="D88" s="26">
        <v>0</v>
      </c>
      <c r="E88" s="24" t="s">
        <v>48</v>
      </c>
      <c r="F88" s="24" t="s">
        <v>297</v>
      </c>
      <c r="G88" s="102" t="s">
        <v>298</v>
      </c>
      <c r="H88" s="27" t="s">
        <v>51</v>
      </c>
      <c r="I88" s="30"/>
      <c r="J88" s="107"/>
      <c r="K88" s="24"/>
      <c r="L88" s="133"/>
    </row>
    <row r="89" spans="1:12" ht="98.1" customHeight="1" x14ac:dyDescent="0.3">
      <c r="A89" s="24">
        <v>12</v>
      </c>
      <c r="B89" s="25">
        <v>12.8</v>
      </c>
      <c r="C89" s="124" t="s">
        <v>299</v>
      </c>
      <c r="D89" s="26">
        <v>0</v>
      </c>
      <c r="E89" s="29" t="s">
        <v>300</v>
      </c>
      <c r="F89" s="24" t="s">
        <v>301</v>
      </c>
      <c r="G89" s="102" t="s">
        <v>302</v>
      </c>
      <c r="H89" s="102" t="s">
        <v>303</v>
      </c>
      <c r="I89" s="107"/>
      <c r="J89" s="24"/>
      <c r="K89" s="24"/>
      <c r="L89" s="133"/>
    </row>
    <row r="90" spans="1:12" ht="84" customHeight="1" x14ac:dyDescent="0.3">
      <c r="A90" s="24">
        <v>12</v>
      </c>
      <c r="B90" s="25">
        <v>12.8</v>
      </c>
      <c r="C90" s="124" t="s">
        <v>299</v>
      </c>
      <c r="D90" s="26">
        <v>0</v>
      </c>
      <c r="E90" s="108" t="s">
        <v>112</v>
      </c>
      <c r="F90" s="103" t="s">
        <v>304</v>
      </c>
      <c r="G90" s="24" t="s">
        <v>181</v>
      </c>
      <c r="H90" s="27" t="s">
        <v>115</v>
      </c>
      <c r="I90" s="24"/>
      <c r="J90" s="24"/>
      <c r="K90" s="24"/>
      <c r="L90" s="133"/>
    </row>
    <row r="91" spans="1:12" ht="60" customHeight="1" x14ac:dyDescent="0.3">
      <c r="A91" s="24">
        <v>12</v>
      </c>
      <c r="B91" s="30">
        <v>12.9</v>
      </c>
      <c r="C91" s="101" t="s">
        <v>305</v>
      </c>
      <c r="D91" s="26">
        <v>1</v>
      </c>
      <c r="E91" s="24" t="s">
        <v>306</v>
      </c>
      <c r="F91" s="24" t="s">
        <v>307</v>
      </c>
      <c r="G91" s="102" t="s">
        <v>21</v>
      </c>
      <c r="H91" s="107" t="s">
        <v>308</v>
      </c>
      <c r="I91" s="24"/>
      <c r="J91" s="24"/>
      <c r="K91" s="24"/>
      <c r="L91" s="133"/>
    </row>
    <row r="92" spans="1:12" ht="60" customHeight="1" x14ac:dyDescent="0.3">
      <c r="A92" s="24">
        <v>12</v>
      </c>
      <c r="B92" s="100">
        <v>12.1</v>
      </c>
      <c r="C92" s="101" t="s">
        <v>309</v>
      </c>
      <c r="D92" s="26">
        <v>0.5</v>
      </c>
      <c r="E92" s="24" t="s">
        <v>310</v>
      </c>
      <c r="F92" s="24" t="s">
        <v>311</v>
      </c>
      <c r="G92" s="102" t="s">
        <v>21</v>
      </c>
      <c r="H92" s="107" t="s">
        <v>312</v>
      </c>
      <c r="I92" s="24"/>
      <c r="J92" s="24"/>
      <c r="K92" s="24"/>
      <c r="L92" s="133"/>
    </row>
    <row r="93" spans="1:12" ht="60" customHeight="1" x14ac:dyDescent="0.3">
      <c r="A93" s="24">
        <v>12</v>
      </c>
      <c r="B93" s="100">
        <v>12.11</v>
      </c>
      <c r="C93" s="101" t="s">
        <v>313</v>
      </c>
      <c r="D93" s="26">
        <v>0.5</v>
      </c>
      <c r="E93" s="24" t="s">
        <v>314</v>
      </c>
      <c r="F93" s="24" t="s">
        <v>315</v>
      </c>
      <c r="G93" s="102" t="s">
        <v>21</v>
      </c>
      <c r="H93" s="107" t="s">
        <v>316</v>
      </c>
      <c r="I93" s="24"/>
      <c r="J93" s="24"/>
      <c r="K93" s="24"/>
      <c r="L93" s="134"/>
    </row>
    <row r="94" spans="1:12" ht="60" customHeight="1" x14ac:dyDescent="1">
      <c r="K94" s="114" t="s">
        <v>317</v>
      </c>
      <c r="L94" s="115">
        <v>0.21299999999999999</v>
      </c>
    </row>
    <row r="95" spans="1:12" ht="15.75" customHeight="1" x14ac:dyDescent="0.3">
      <c r="L95"/>
    </row>
  </sheetData>
  <mergeCells count="12">
    <mergeCell ref="L2:L6"/>
    <mergeCell ref="L7:L10"/>
    <mergeCell ref="L11:L15"/>
    <mergeCell ref="L16:L28"/>
    <mergeCell ref="L64:L68"/>
    <mergeCell ref="L69:L73"/>
    <mergeCell ref="L74:L93"/>
    <mergeCell ref="L57:L63"/>
    <mergeCell ref="L29:L38"/>
    <mergeCell ref="L39:L44"/>
    <mergeCell ref="L45:L51"/>
    <mergeCell ref="L52:L56"/>
  </mergeCells>
  <conditionalFormatting sqref="E71">
    <cfRule type="colorScale" priority="1">
      <colorScale>
        <cfvo type="min"/>
        <cfvo type="percentile" val="50"/>
        <cfvo type="max"/>
        <color rgb="FF63BE7B"/>
        <color rgb="FFFFEB84"/>
        <color rgb="FFF8696B"/>
      </colorScale>
    </cfRule>
  </conditionalFormatting>
  <hyperlinks>
    <hyperlink ref="I64" r:id="rId1" xr:uid="{C674653D-FC83-4969-AA6C-62A60A6DCB1B}"/>
    <hyperlink ref="I66" r:id="rId2" xr:uid="{7E76CB6E-DFCB-4847-B515-3181F697BB03}"/>
    <hyperlink ref="H9" r:id="rId3" xr:uid="{299F6343-BC01-44F9-A42E-977729EA0586}"/>
    <hyperlink ref="H7" r:id="rId4" xr:uid="{080AE561-E77D-4EA8-8E61-194CEE664989}"/>
    <hyperlink ref="H8" r:id="rId5" xr:uid="{8F65C4C4-F030-45B3-8C48-18AABDEE1850}"/>
    <hyperlink ref="H67" r:id="rId6" xr:uid="{496C707D-D51B-453B-93D0-C80B753FE792}"/>
    <hyperlink ref="H12" r:id="rId7" location=":~:text=Law%20of%20the%20Republic%20of%20Armenia%20on%20Protection%20of%20Economic%20Competition,-Laws&amp;text=This%20Law%20regulates%20the%20economic,utility%20model%20and%20industrial%20design." xr:uid="{8DC2FB08-333D-4ABE-8BBE-23B4BCF5F13E}"/>
    <hyperlink ref="H13" r:id="rId8" location=":~:text=Making%20foreign%20investments%20by%20established,of%20the%20Republic%20of%20Armenia.&amp;text=Foreign%20investments%20shall%20be%20appraised,the%20foreign%20investor%20so%20wishes." xr:uid="{F696D2D5-2257-4C9F-8CB5-E6A0BFA60770}"/>
    <hyperlink ref="H14" r:id="rId9" xr:uid="{2A3DAAEC-184A-48A3-9AA3-BE18E0CA60F4}"/>
    <hyperlink ref="H16" r:id="rId10" xr:uid="{BA29F471-0288-4251-B303-3782B250A11C}"/>
    <hyperlink ref="H17" r:id="rId11" xr:uid="{D942E705-3FBF-479E-9FAF-688699A7692B}"/>
    <hyperlink ref="H18" r:id="rId12" xr:uid="{BEA733FB-A1F9-40EE-A23A-3CA27690DD01}"/>
    <hyperlink ref="H19" r:id="rId13" xr:uid="{EEAC4B37-604A-49C6-89E5-6194C2B64B13}"/>
    <hyperlink ref="H20" r:id="rId14" xr:uid="{AEBA3D81-7C69-4C9D-B1CC-2C4FB44D7FB8}"/>
    <hyperlink ref="H21" r:id="rId15" xr:uid="{4F266B88-E0EB-4975-840E-543DAFFFC358}"/>
    <hyperlink ref="H22" r:id="rId16" xr:uid="{2BF3AC36-0A90-431F-A07C-D7EA0A47E1A3}"/>
    <hyperlink ref="H23" r:id="rId17" xr:uid="{A0B33F86-39E9-49FE-8E33-C195462A0CBA}"/>
    <hyperlink ref="H26" r:id="rId18" xr:uid="{24C0E0CB-450F-4598-AC29-3728E55646A1}"/>
    <hyperlink ref="H27" r:id="rId19" xr:uid="{2253D542-FA1C-4235-8C9B-51978CDAD454}"/>
    <hyperlink ref="H36" r:id="rId20" xr:uid="{F715E078-9D0A-4487-B0B3-8AE16DB077A4}"/>
    <hyperlink ref="H38" r:id="rId21" xr:uid="{B1EC5DE1-A4FA-4705-AD86-6567667ECDCF}"/>
    <hyperlink ref="H46" r:id="rId22" xr:uid="{D0D1C4A1-1EF3-4E3A-9ECB-A0127A70E1AB}"/>
    <hyperlink ref="H50" r:id="rId23" xr:uid="{845D1AB0-D7A3-490B-B7DB-98A7FFE55354}"/>
    <hyperlink ref="H53" r:id="rId24" xr:uid="{96EC4FD5-4CD2-4A13-9D03-6C4D593A3AFD}"/>
    <hyperlink ref="H54" r:id="rId25" xr:uid="{1AB43B5D-54B0-41E4-B66F-C7F12F570EFE}"/>
    <hyperlink ref="H56" r:id="rId26" xr:uid="{BE5908B4-0917-459B-8516-C12E2F199B47}"/>
    <hyperlink ref="H57" r:id="rId27" xr:uid="{94872192-3AD1-4FDC-B153-C3830BDA3DD9}"/>
    <hyperlink ref="H58" r:id="rId28" xr:uid="{A9A1F534-B631-401A-B477-2E85F85144DB}"/>
    <hyperlink ref="H60" r:id="rId29" xr:uid="{97AC7C2A-6D2E-4839-B408-28025001A38C}"/>
    <hyperlink ref="H62" r:id="rId30" xr:uid="{79BE8AE7-C7BC-47F1-8672-642983629540}"/>
    <hyperlink ref="H68" r:id="rId31" xr:uid="{2413CA11-E2F6-4873-8322-DEAC600F24EE}"/>
    <hyperlink ref="H73" r:id="rId32" xr:uid="{40BF64A3-04D8-4499-A7CA-33DE07377F31}"/>
    <hyperlink ref="H77" r:id="rId33" xr:uid="{F375F7E3-C9E5-4A02-B0DD-671C3D9259B9}"/>
    <hyperlink ref="H78" r:id="rId34" xr:uid="{7FB7F7EC-D93E-4850-B74F-31592B262C69}"/>
    <hyperlink ref="H87" r:id="rId35" xr:uid="{9F922D0A-B7E6-452D-9918-B13C70FBCDEC}"/>
    <hyperlink ref="H88" r:id="rId36" xr:uid="{18B2218E-E289-4851-86E6-380E42624B6C}"/>
    <hyperlink ref="H15" r:id="rId37" xr:uid="{F9DB6298-1778-4BE1-8D6D-2EA4E62E4C5B}"/>
    <hyperlink ref="H24" r:id="rId38" xr:uid="{03B71D46-0FD0-4B37-8308-789912D1C238}"/>
    <hyperlink ref="H51" r:id="rId39" xr:uid="{89DFBCDC-70E7-40DA-8728-0D65C7D1075E}"/>
    <hyperlink ref="H6" r:id="rId40" xr:uid="{18FEC4D9-8DC1-4571-A949-BA0E7FB0A6EA}"/>
    <hyperlink ref="H10" r:id="rId41" display="https://www.wto.org/english/tratop_e/gproc_e/memobs_e.htm" xr:uid="{60FBFF19-0687-4941-BF18-35A7D2EADBC6}"/>
    <hyperlink ref="I15" r:id="rId42" xr:uid="{11BB40AF-7801-45B0-8177-D82C12FADA92}"/>
    <hyperlink ref="H55" r:id="rId43" xr:uid="{43A39BE0-ACB4-44C7-8493-65E49CD4A3B5}"/>
    <hyperlink ref="H65" r:id="rId44" xr:uid="{EF8CF36C-7C40-448A-9587-D207C05E67C0}"/>
    <hyperlink ref="H70" r:id="rId45" xr:uid="{659BCB70-CCE6-4365-86B7-750B38F53BCE}"/>
    <hyperlink ref="H72" r:id="rId46" xr:uid="{45DF4D83-1EDD-42E4-B89F-B31BC86374DC}"/>
    <hyperlink ref="I77" r:id="rId47" xr:uid="{41E7DE47-31E8-4832-A3D5-DD81700CC879}"/>
    <hyperlink ref="H79" r:id="rId48" xr:uid="{BF84BE71-BAE5-4E41-9229-E0F8CCF39E07}"/>
    <hyperlink ref="I79" r:id="rId49" xr:uid="{FD073AAD-C85B-4CDA-B13D-1D3DE8785116}"/>
    <hyperlink ref="H80" r:id="rId50" xr:uid="{793C6419-41A0-4D36-9DE5-288248A44B12}"/>
    <hyperlink ref="I80" r:id="rId51" xr:uid="{77D5149E-F5B8-496B-AA00-8FD9E2102ED7}"/>
    <hyperlink ref="H81" r:id="rId52" xr:uid="{A1466AAF-42FE-4D3A-ACA5-EBC3E1E014EF}"/>
    <hyperlink ref="I81" r:id="rId53" xr:uid="{C2A6E264-59ED-4F8F-A089-1413C89AAF06}"/>
    <hyperlink ref="H82" r:id="rId54" xr:uid="{CD8FDDC1-A540-47D5-95F4-3654AF3008B9}"/>
    <hyperlink ref="I82" r:id="rId55" xr:uid="{E84D1537-A04C-44E4-880B-9AB274C23DFB}"/>
    <hyperlink ref="H84" r:id="rId56" xr:uid="{10E375C0-7C56-48D9-B4DA-7347FCE5D43F}"/>
    <hyperlink ref="H83" r:id="rId57" xr:uid="{C54D9FB7-2D2A-437F-9B1A-96F25138E1C5}"/>
    <hyperlink ref="I83" r:id="rId58" xr:uid="{CE3D8251-6A58-4A3E-AC0D-CDE24E451206}"/>
    <hyperlink ref="H63" r:id="rId59" xr:uid="{3761C207-1AD1-493E-94D0-FFCC459FB4EC}"/>
    <hyperlink ref="H90" r:id="rId60" xr:uid="{F83CE765-277A-4A9A-92A7-DE4E9EC1E868}"/>
    <hyperlink ref="H2" r:id="rId61" xr:uid="{2B9855F7-C3CB-4110-B4BF-EBCD886EBEC2}"/>
    <hyperlink ref="H3" r:id="rId62" xr:uid="{31AEE509-8633-48E1-877D-00DF3AC40247}"/>
    <hyperlink ref="H76" r:id="rId63" xr:uid="{528ABD66-7FC5-4AAE-A7B5-8E7CAC7538B6}"/>
    <hyperlink ref="H11" r:id="rId64" display="https://internews.org/resource/armenia-digital-threat-landscape-civil-society-media/" xr:uid="{26EFC2C5-8D22-4F5F-B48A-BC83FD2A7F50}"/>
    <hyperlink ref="H41" r:id="rId65" display="https://www.legal500.com/guides/chapter/armenia-data-protection-cybersecurity/" xr:uid="{CDC0BAF6-EB7E-4CDD-9901-41B5FDF5568C}"/>
    <hyperlink ref="H42" r:id="rId66" display="https://cis-legislation.com/document.fwx?rgn=27341" xr:uid="{DEA9C8A6-6399-4903-8A39-3DC6F6B63B6F}"/>
    <hyperlink ref="H86" r:id="rId67" display="https://www.osf.am/wp-content/uploads/2016/12/Personal-Data-Protection_Visa-Liberalization_ENG.pdf" xr:uid="{5B4A53E0-0301-4685-835A-632A81A5205B}"/>
    <hyperlink ref="H37" r:id="rId68" display="https://www.moj.am/en/structures/view/structure/32" xr:uid="{37E8742C-DF56-48F0-8AE7-8F6D46BFDA88}"/>
    <hyperlink ref="H31:H34" r:id="rId69" display="https://www.arlis.am/Annexes/4/elektr_com_en.pdf" xr:uid="{2A60F427-CE8B-45D8-804F-6C0859D56525}"/>
    <hyperlink ref="H29" r:id="rId70" location=":~:text=Part%201%20of%20Article%2049,and%20the%20services%20delivered%20to_x000a__x000a_However, some legal scholars and industry analysts have raised concerns about the de facto independence of the PSRC, particularly regarding its ability to resist political or industry influence." display="https://digitalagenda.am/en/category/documents-en/#:~:text=Part%201%20of%20Article%2049,and%20the%20services%20delivered%20to_x000a__x000a_However, some legal scholars and industry analysts have raised concerns about the de facto independence of the PSRC, particularly regarding its ability to resist political or industry influence." xr:uid="{5A3A74D3-1D27-4CBD-B39D-D9791726D61D}"/>
    <hyperlink ref="H40" r:id="rId71" xr:uid="{D0ACB204-C0E2-423F-BC47-392A2880B1B1}"/>
    <hyperlink ref="H39" r:id="rId72" xr:uid="{A28FD094-1C28-4317-8B02-AB320EF36C47}"/>
    <hyperlink ref="H43" r:id="rId73" display="https://www.arlis.am/Annexes/4/Law_Personal_data_protection_EN.pdf" xr:uid="{09717A8F-1BDA-4797-81A9-DE2863432768}"/>
    <hyperlink ref="H59" r:id="rId74" display="http://www.parliament.am/law_docs/010998HO248eng.pdf?lang=eng" xr:uid="{B2C6918C-124F-4A87-AC2C-6591F8B53EB6}"/>
    <hyperlink ref="H61" r:id="rId75" display="https://leap.unep.org/en/countries/am/national-legislation/law-trade-and-services" xr:uid="{9355FA01-B370-410A-BFEC-1D3A866AE6A2}"/>
    <hyperlink ref="H45" r:id="rId76" display="https://www.arlis.am/Annexes/4/Law_Personal_data_protection_EN.pdf" xr:uid="{084EFB13-B815-46C0-8891-176F71E63999}"/>
    <hyperlink ref="H47" r:id="rId77" display="https://www.arlis.am/Annexes/4/Law_Personal_data_protection_EN.pdf" xr:uid="{4068DC1E-B31B-4C42-9E7C-A5E784F82C90}"/>
    <hyperlink ref="H48" r:id="rId78" display="https://www.arlis.am/Annexes/4/Law_Personal_data_protection_EN.pdf" xr:uid="{3B37B5FA-385E-4B59-9574-B27ABE9EBC8A}"/>
    <hyperlink ref="H49" r:id="rId79" display="https://www.arlis.am/Annexes/4/Law_Personal_data_protection_EN.pdf" xr:uid="{6E242641-230B-4F5C-8C57-F457EF44F34C}"/>
    <hyperlink ref="H35" r:id="rId80" xr:uid="{E577D93C-C9A2-4DA8-8A45-C531A91A7B9C}"/>
    <hyperlink ref="H25" r:id="rId81" location=":~:text=Law%20of%20the%20Republic%20of%20Armenia%20on%20Protection%20of%20Economic%20Competition,-Laws&amp;text=This%20Law%20regulates%20the%20economic,utility%20model%20and%20industrial%20design." xr:uid="{A559598C-3357-4580-9E76-F688570F5EDF}"/>
    <hyperlink ref="H28" r:id="rId82" location=":~:text=Law%20of%20the%20Republic%20of%20Armenia%20on%20Protection%20of%20Economic%20Competition,-Laws&amp;text=This%20Law%20regulates%20the%20economic,utility%20model%20and%20industrial%20design." xr:uid="{CF1E523E-3907-4184-AB3F-17C4FF80EE80}"/>
    <hyperlink ref="H31" r:id="rId83" xr:uid="{0DD9EC9F-5B14-43A7-B02B-351E9924E4FE}"/>
    <hyperlink ref="H30" r:id="rId84" xr:uid="{B46BF4C9-4314-4A6B-ACBA-E44EB3E2060B}"/>
    <hyperlink ref="H5" r:id="rId85" xr:uid="{A0FE9D91-6132-4482-96DF-ED01726F2C47}"/>
    <hyperlink ref="I5" r:id="rId86" xr:uid="{3B41B9F5-81E3-4E00-BDD2-FF58D7207A53}"/>
    <hyperlink ref="H85" r:id="rId87" location="pril1" xr:uid="{5868319C-9B6F-404A-B569-693CE4BD3A9E}"/>
    <hyperlink ref="I85" r:id="rId88" xr:uid="{2AD69900-685E-4A62-98AA-048FC6390D55}"/>
    <hyperlink ref="H71" r:id="rId89" xr:uid="{5459B280-B092-47F8-A47A-7F3AF8EB39F9}"/>
    <hyperlink ref="I71" r:id="rId90" display="https://cbd.minjust.gov.kg/42" xr:uid="{6E26DD8B-328D-4AE0-BD16-B0520F3C8D5C}"/>
    <hyperlink ref="I69" r:id="rId91" xr:uid="{861A1918-D883-4CEE-965D-31B7A5FAE133}"/>
    <hyperlink ref="H69" r:id="rId92" xr:uid="{E302E1E5-F5B3-493B-A191-5C3D6184CCA0}"/>
    <hyperlink ref="H74" r:id="rId93" xr:uid="{244099A6-78FD-4D49-BF2B-6F78150770CE}"/>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4505370-5f19-44ab-86de-d5c146ea2f60" xsi:nil="true"/>
    <lcf76f155ced4ddcb4097134ff3c332f xmlns="e0054212-7337-4fdc-a340-135e976ff0b3">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B50AA62E7ED3647B4DEDA6B97C0309C" ma:contentTypeVersion="13" ma:contentTypeDescription="Create a new document." ma:contentTypeScope="" ma:versionID="32e069101342c57209a300bba72c9de0">
  <xsd:schema xmlns:xsd="http://www.w3.org/2001/XMLSchema" xmlns:xs="http://www.w3.org/2001/XMLSchema" xmlns:p="http://schemas.microsoft.com/office/2006/metadata/properties" xmlns:ns2="e0054212-7337-4fdc-a340-135e976ff0b3" xmlns:ns3="14505370-5f19-44ab-86de-d5c146ea2f60" targetNamespace="http://schemas.microsoft.com/office/2006/metadata/properties" ma:root="true" ma:fieldsID="4e0f9d330e7544c7a65521e1afb0e111" ns2:_="" ns3:_="">
    <xsd:import namespace="e0054212-7337-4fdc-a340-135e976ff0b3"/>
    <xsd:import namespace="14505370-5f19-44ab-86de-d5c146ea2f6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054212-7337-4fdc-a340-135e976ff0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4505370-5f19-44ab-86de-d5c146ea2f6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4b1d037-e02d-4f31-bbb9-9dee9d0dee71}" ma:internalName="TaxCatchAll" ma:showField="CatchAllData" ma:web="14505370-5f19-44ab-86de-d5c146ea2f6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317C95F-73D9-4AB0-B61F-818E400A37DD}">
  <ds:schemaRefs>
    <ds:schemaRef ds:uri="e0054212-7337-4fdc-a340-135e976ff0b3"/>
    <ds:schemaRef ds:uri="http://schemas.microsoft.com/office/2006/metadata/properties"/>
    <ds:schemaRef ds:uri="http://purl.org/dc/dcmitype/"/>
    <ds:schemaRef ds:uri="14505370-5f19-44ab-86de-d5c146ea2f60"/>
    <ds:schemaRef ds:uri="http://schemas.openxmlformats.org/package/2006/metadata/core-properties"/>
    <ds:schemaRef ds:uri="http://purl.org/dc/elements/1.1/"/>
    <ds:schemaRef ds:uri="http://schemas.microsoft.com/office/2006/documentManagement/types"/>
    <ds:schemaRef ds:uri="http://purl.org/dc/term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415E6A6B-B887-4909-A95F-E01E7077DD4A}">
  <ds:schemaRefs>
    <ds:schemaRef ds:uri="http://schemas.microsoft.com/sharepoint/v3/contenttype/forms"/>
  </ds:schemaRefs>
</ds:datastoreItem>
</file>

<file path=customXml/itemProps3.xml><?xml version="1.0" encoding="utf-8"?>
<ds:datastoreItem xmlns:ds="http://schemas.openxmlformats.org/officeDocument/2006/customXml" ds:itemID="{68358A53-BDC7-40FC-AB91-63BAA0D5E3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0054212-7337-4fdc-a340-135e976ff0b3"/>
    <ds:schemaRef ds:uri="14505370-5f19-44ab-86de-d5c146ea2f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06bed3f-efae-4d70-a15b-866bb27c918d}"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Armenia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Florette Veronique A Peter</dc:creator>
  <cp:keywords/>
  <dc:description/>
  <cp:lastModifiedBy>Florette Veronique A Peter</cp:lastModifiedBy>
  <cp:revision/>
  <dcterms:created xsi:type="dcterms:W3CDTF">2026-02-09T03:38:11Z</dcterms:created>
  <dcterms:modified xsi:type="dcterms:W3CDTF">2026-02-18T11:44:23Z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0x0101004B50AA62E7ED3647B4DEDA6B97C0309C</vt:lpwstr>
  </property>
  <property fmtid="{D5CDD505-2E9C-101B-9397-08002B2CF9AE}" pid="3" name="ComplianceAssetId">
    <vt:lpwstr/>
  </property>
  <property fmtid="{D5CDD505-2E9C-101B-9397-08002B2CF9AE}" pid="4" name="_ExtendedDescription">
    <vt:lpwstr/>
  </property>
  <property fmtid="{D5CDD505-2E9C-101B-9397-08002B2CF9AE}" pid="5" name="TriggerFlowInfo">
    <vt:lpwstr/>
  </property>
  <property fmtid="{D5CDD505-2E9C-101B-9397-08002B2CF9AE}" pid="6" name="MediaServiceImageTags">
    <vt:lpwstr/>
  </property>
</Properties>
</file>